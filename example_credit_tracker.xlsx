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enefits" sheetId="2" state="visible" r:id="rId2"/>
    <sheet name="CHASE-UNITED-QUEST" sheetId="3" state="visible" r:id="rId3"/>
    <sheet name="CHASE-BOUNDLESS" sheetId="4" state="visible" r:id="rId4"/>
    <sheet name="CHASE-CSP" sheetId="5" state="visible" r:id="rId5"/>
    <sheet name="TEMPLATE" sheetId="6" state="visible" r:id="rId6"/>
    <sheet name="Ref" sheetId="7" state="visible" r:id="rId7"/>
  </sheets>
  <definedNames>
    <definedName name="_xlnm._FilterDatabase" localSheetId="1" hidden="1">'Benefits'!$A$4:$L$18</definedName>
  </definedNames>
  <calcPr calcId="124519" fullCalcOnLoad="1"/>
</workbook>
</file>

<file path=xl/styles.xml><?xml version="1.0" encoding="utf-8"?>
<styleSheet xmlns="http://schemas.openxmlformats.org/spreadsheetml/2006/main">
  <numFmts count="2">
    <numFmt numFmtId="164" formatCode="yyyy-mm-dd"/>
    <numFmt numFmtId="165" formatCode="&quot;$&quot;#,##0"/>
  </numFmts>
  <fonts count="11">
    <font>
      <name val="Calibri"/>
      <family val="2"/>
      <color theme="1"/>
      <sz val="11"/>
      <scheme val="minor"/>
    </font>
    <font>
      <b val="1"/>
      <color rgb="001F3864"/>
      <sz val="14"/>
    </font>
    <font>
      <b val="1"/>
    </font>
    <font>
      <color rgb="00A6A6A6"/>
    </font>
    <font>
      <b val="1"/>
      <color rgb="001E7B34"/>
      <sz val="11"/>
    </font>
    <font>
      <b val="1"/>
      <color rgb="007F6000"/>
      <sz val="11"/>
    </font>
    <font>
      <b val="1"/>
      <color rgb="001F4E79"/>
      <sz val="11"/>
    </font>
    <font>
      <b val="1"/>
      <color rgb="001F3864"/>
      <sz val="9"/>
    </font>
    <font>
      <b val="1"/>
      <color rgb="00404040"/>
      <sz val="11"/>
    </font>
    <font>
      <b val="1"/>
      <color rgb="00C00000"/>
    </font>
    <font>
      <b val="1"/>
      <color rgb="00C00000"/>
      <sz val="12"/>
    </font>
  </fonts>
  <fills count="8">
    <fill>
      <patternFill/>
    </fill>
    <fill>
      <patternFill patternType="gray125"/>
    </fill>
    <fill>
      <patternFill patternType="solid">
        <fgColor rgb="00D9E1F2"/>
      </patternFill>
    </fill>
    <fill>
      <patternFill patternType="solid">
        <fgColor rgb="00F2F2F2"/>
      </patternFill>
    </fill>
    <fill>
      <patternFill patternType="solid">
        <fgColor rgb="00C6EFCE"/>
      </patternFill>
    </fill>
    <fill>
      <patternFill patternType="solid">
        <fgColor rgb="00FFE699"/>
      </patternFill>
    </fill>
    <fill>
      <patternFill patternType="solid">
        <fgColor rgb="00DDEBF7"/>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165" fontId="0" fillId="0" borderId="0" pivotButton="0" quotePrefix="0" xfId="0"/>
    <xf numFmtId="165" fontId="2" fillId="0" borderId="0" pivotButton="0" quotePrefix="0" xfId="0"/>
    <xf numFmtId="9" fontId="0" fillId="0" borderId="0" pivotButton="0" quotePrefix="0" xfId="0"/>
    <xf numFmtId="0" fontId="2" fillId="2" borderId="1" pivotButton="0" quotePrefix="0" xfId="0"/>
    <xf numFmtId="0" fontId="3" fillId="0" borderId="0" pivotButton="0" quotePrefix="0" xfId="0"/>
    <xf numFmtId="0" fontId="2" fillId="3" borderId="0" pivotButton="0" quotePrefix="0" xfId="0"/>
    <xf numFmtId="165" fontId="2" fillId="3" borderId="0" pivotButton="0" quotePrefix="0" xfId="0"/>
    <xf numFmtId="9" fontId="2" fillId="3" borderId="0" pivotButton="0" quotePrefix="0" xfId="0"/>
    <xf numFmtId="0" fontId="9" fillId="0" borderId="0" pivotButton="0" quotePrefix="0" xfId="0"/>
    <xf numFmtId="0" fontId="7" fillId="0" borderId="0" pivotButton="0" quotePrefix="0" xfId="0"/>
    <xf numFmtId="0" fontId="4" fillId="4" borderId="0" applyAlignment="1" pivotButton="0" quotePrefix="0" xfId="0">
      <alignment vertical="center" indent="1"/>
    </xf>
    <xf numFmtId="0" fontId="2" fillId="2" borderId="0" pivotButton="0" quotePrefix="0" xfId="0"/>
    <xf numFmtId="0" fontId="5" fillId="5" borderId="0" applyAlignment="1" pivotButton="0" quotePrefix="0" xfId="0">
      <alignment vertical="center" indent="1"/>
    </xf>
    <xf numFmtId="0" fontId="6" fillId="6" borderId="0" applyAlignment="1" pivotButton="0" quotePrefix="0" xfId="0">
      <alignment vertical="center" indent="1"/>
    </xf>
    <xf numFmtId="0" fontId="8" fillId="7" borderId="0" applyAlignment="1" pivotButton="0" quotePrefix="0" xfId="0">
      <alignment vertical="center" indent="1"/>
    </xf>
    <xf numFmtId="0" fontId="10" fillId="0" borderId="0" pivotButton="0" quotePrefix="0" xfId="0"/>
  </cellXfs>
  <cellStyles count="1">
    <cellStyle name="Normal" xfId="0" builtinId="0" hidden="0"/>
  </cellStyles>
  <dxfs count="8">
    <dxf>
      <font>
        <b val="1"/>
        <color rgb="00006100"/>
      </font>
      <fill>
        <patternFill patternType="solid">
          <fgColor rgb="00C6EFCE"/>
        </patternFill>
      </fill>
    </dxf>
    <dxf>
      <font>
        <b val="1"/>
        <color rgb="00C00000"/>
      </font>
      <fill>
        <patternFill patternType="solid">
          <fgColor rgb="00FFC7CE"/>
        </patternFill>
      </fill>
    </dxf>
    <dxf>
      <fill>
        <patternFill patternType="solid">
          <fgColor rgb="00FFE699"/>
        </patternFill>
      </fill>
    </dxf>
    <dxf>
      <font>
        <color rgb="00A6A6A6"/>
      </font>
    </dxf>
    <dxf>
      <fill>
        <patternFill patternType="solid">
          <fgColor rgb="00C6EFCE"/>
        </patternFill>
      </fill>
    </dxf>
    <dxf>
      <font>
        <b val="1"/>
        <color rgb="00C00000"/>
      </font>
      <fill>
        <patternFill patternType="solid">
          <fgColor rgb="00FFE699"/>
        </patternFill>
      </fill>
    </dxf>
    <dxf>
      <fill>
        <patternFill patternType="solid">
          <fgColor rgb="00FFD8A8"/>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S4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34" customWidth="1" min="3" max="3"/>
    <col width="12" customWidth="1" min="4" max="4"/>
    <col width="11" customWidth="1" min="5" max="5"/>
    <col width="10" customWidth="1" min="6" max="6"/>
    <col width="15" customWidth="1" min="7" max="7"/>
    <col width="13" customWidth="1" min="8" max="8"/>
    <col width="14" customWidth="1" min="9" max="9"/>
    <col width="13" customWidth="1" min="10" max="10"/>
    <col width="14" customWidth="1" min="11" max="11"/>
    <col width="12" customWidth="1" min="12" max="12"/>
    <col width="12" customWidth="1" min="13" max="13"/>
    <col width="14" customWidth="1" min="14" max="14"/>
    <col width="12" customWidth="1" min="15" max="15"/>
    <col width="9" customWidth="1" min="16" max="16"/>
    <col width="9" customWidth="1" min="17" max="17"/>
    <col width="14" customWidth="1" min="18" max="18"/>
    <col hidden="1" width="13" customWidth="1" min="19" max="19"/>
  </cols>
  <sheetData>
    <row r="1">
      <c r="A1" s="1" t="inlineStr">
        <is>
          <t>Credit Card Benefits &amp; Annual Fee Tracker</t>
        </is>
      </c>
    </row>
    <row r="2">
      <c r="A2" t="inlineStr">
        <is>
          <t>Portfolio rollup as of</t>
        </is>
      </c>
      <c r="B2" s="2">
        <f>TODAY()</f>
        <v/>
      </c>
    </row>
    <row r="3">
      <c r="A3" s="3" t="inlineStr">
        <is>
          <t>Total annual fees charged (active cards)</t>
        </is>
      </c>
      <c r="B3" s="4">
        <f>SUMIF($G$9:$G$28,"Active",$H$9:$H$28)</f>
        <v/>
      </c>
      <c r="C3" s="3" t="inlineStr">
        <is>
          <t>Credits used - statement credits</t>
        </is>
      </c>
      <c r="D3" s="4">
        <f>SUMIF($G$9:$G$28,"Active",$J$9:$J$28)</f>
        <v/>
      </c>
      <c r="E3" s="3" t="inlineStr">
        <is>
          <t>Credits used - incl. estimated</t>
        </is>
      </c>
      <c r="F3" s="4">
        <f>SUMIF($G$9:$G$28,"Active",$K$9:$K$28)</f>
        <v/>
      </c>
      <c r="G3" s="3" t="inlineStr">
        <is>
          <t>Remaining credit value</t>
        </is>
      </c>
      <c r="H3" s="4">
        <f>SUMIF($G$9:$G$28,"Active",$L$9:$L$28)</f>
        <v/>
      </c>
    </row>
    <row r="4">
      <c r="A4" s="3" t="inlineStr">
        <is>
          <t>Portfolio net benefit - statement credits</t>
        </is>
      </c>
      <c r="B4" s="5">
        <f>SUMIF($G$9:$G$28,"Active",$M$9:$M$28)</f>
        <v/>
      </c>
      <c r="C4" s="3" t="inlineStr">
        <is>
          <t>Portfolio net benefit - incl. estimated</t>
        </is>
      </c>
      <c r="D4" s="4">
        <f>SUMIF($G$9:$G$28,"Active",$N$9:$N$28)</f>
        <v/>
      </c>
      <c r="E4" s="3" t="inlineStr">
        <is>
          <t>Portfolio result</t>
        </is>
      </c>
      <c r="F4" s="3">
        <f>IF($B$4&gt;=0,"POSITIVE","NEGATIVE")</f>
        <v/>
      </c>
      <c r="G4" s="3" t="inlineStr">
        <is>
          <t>Credit utilization %</t>
        </is>
      </c>
      <c r="H4" s="6">
        <f>IF($I$29=0,"",$F$3/$I$29)</f>
        <v/>
      </c>
    </row>
    <row r="5">
      <c r="A5" s="3" t="inlineStr">
        <is>
          <t>Cards tracked / active</t>
        </is>
      </c>
      <c r="B5">
        <f>COUNTA($A$9:$A$28)&amp;" / "&amp;COUNTIF($G$9:$G$28,"Active")</f>
        <v/>
      </c>
      <c r="C5" s="3" t="inlineStr">
        <is>
          <t>Total months held (active)</t>
        </is>
      </c>
      <c r="D5">
        <f>SUMIF($G$9:$G$28,"Active",$E$9:$E$28)</f>
        <v/>
      </c>
      <c r="E5" s="3" t="inlineStr">
        <is>
          <t>Average months held (active)</t>
        </is>
      </c>
      <c r="F5">
        <f>IFERROR(AVERAGEIF($G$9:$G$28,"Active",$E$9:$E$28),"")</f>
        <v/>
      </c>
      <c r="G5" s="3" t="inlineStr">
        <is>
          <t>Credits at risk (&lt;=30 days)</t>
        </is>
      </c>
      <c r="H5">
        <f>SUMIF($G$9:$G$28,"Active",$Q$9:$Q$28)</f>
        <v/>
      </c>
    </row>
    <row r="6">
      <c r="A6" s="3" t="inlineStr">
        <is>
          <t>Nearest expiry across active cards (days)</t>
        </is>
      </c>
      <c r="B6">
        <f>IF(MIN($S$9:$S$28)&gt;=9999,"",MIN($S$9:$S$28))</f>
        <v/>
      </c>
    </row>
    <row r="8">
      <c r="A8" s="7" t="inlineStr">
        <is>
          <t>Card (tab)</t>
        </is>
      </c>
      <c r="B8" s="7" t="inlineStr">
        <is>
          <t>Issuer</t>
        </is>
      </c>
      <c r="C8" s="7" t="inlineStr">
        <is>
          <t>Product</t>
        </is>
      </c>
      <c r="D8" s="7" t="inlineStr">
        <is>
          <t>Open date</t>
        </is>
      </c>
      <c r="E8" s="7" t="inlineStr">
        <is>
          <t>Months held</t>
        </is>
      </c>
      <c r="F8" s="7" t="inlineStr">
        <is>
          <t>Years held</t>
        </is>
      </c>
      <c r="G8" s="7" t="inlineStr">
        <is>
          <t>Card status</t>
        </is>
      </c>
      <c r="H8" s="7" t="inlineStr">
        <is>
          <t>AF this cycle</t>
        </is>
      </c>
      <c r="I8" s="7" t="inlineStr">
        <is>
          <t>Max annual (SC+est.)</t>
        </is>
      </c>
      <c r="J8" s="7" t="inlineStr">
        <is>
          <t>Used - SC</t>
        </is>
      </c>
      <c r="K8" s="7" t="inlineStr">
        <is>
          <t>Used - incl. est.</t>
        </is>
      </c>
      <c r="L8" s="7" t="inlineStr">
        <is>
          <t>Remaining</t>
        </is>
      </c>
      <c r="M8" s="7" t="inlineStr">
        <is>
          <t>Net - SC</t>
        </is>
      </c>
      <c r="N8" s="7" t="inlineStr">
        <is>
          <t>Net - incl. est.</t>
        </is>
      </c>
      <c r="O8" s="7" t="inlineStr">
        <is>
          <t>Result</t>
        </is>
      </c>
      <c r="P8" s="7" t="inlineStr">
        <is>
          <t>Util %</t>
        </is>
      </c>
      <c r="Q8" s="7" t="inlineStr">
        <is>
          <t>At risk</t>
        </is>
      </c>
      <c r="R8" s="7" t="inlineStr">
        <is>
          <t>Nearest expiry (d)</t>
        </is>
      </c>
    </row>
    <row r="9">
      <c r="A9">
        <f>HYPERLINK("#'CHASE-UNITED-QUEST'!A1","CHASE-UNITED-QUEST")</f>
        <v/>
      </c>
      <c r="B9">
        <f>'CHASE-UNITED-QUEST'!$B$2</f>
        <v/>
      </c>
      <c r="C9">
        <f>'CHASE-UNITED-QUEST'!$B$3</f>
        <v/>
      </c>
      <c r="D9" s="2">
        <f>'CHASE-UNITED-QUEST'!$B$5</f>
        <v/>
      </c>
      <c r="E9">
        <f>'CHASE-UNITED-QUEST'!$B$6</f>
        <v/>
      </c>
      <c r="F9">
        <f>'CHASE-UNITED-QUEST'!$B$7</f>
        <v/>
      </c>
      <c r="G9">
        <f>'CHASE-UNITED-QUEST'!$B$4</f>
        <v/>
      </c>
      <c r="H9" s="4">
        <f>'CHASE-UNITED-QUEST'!$B$12</f>
        <v/>
      </c>
      <c r="I9">
        <f>'CHASE-UNITED-QUEST'!$E$5</f>
        <v/>
      </c>
      <c r="J9" s="4">
        <f>'CHASE-UNITED-QUEST'!$E$3</f>
        <v/>
      </c>
      <c r="K9" s="4">
        <f>'CHASE-UNITED-QUEST'!$E$4</f>
        <v/>
      </c>
      <c r="L9" s="4">
        <f>'CHASE-UNITED-QUEST'!$E$6</f>
        <v/>
      </c>
      <c r="M9" s="4">
        <f>'CHASE-UNITED-QUEST'!$E$8</f>
        <v/>
      </c>
      <c r="N9" s="4">
        <f>'CHASE-UNITED-QUEST'!$E$9</f>
        <v/>
      </c>
      <c r="O9">
        <f>'CHASE-UNITED-QUEST'!$E$10</f>
        <v/>
      </c>
      <c r="P9" s="6">
        <f>'CHASE-UNITED-QUEST'!$E$12</f>
        <v/>
      </c>
      <c r="Q9">
        <f>'CHASE-UNITED-QUEST'!$E$13</f>
        <v/>
      </c>
      <c r="R9">
        <f>'CHASE-UNITED-QUEST'!$E$14</f>
        <v/>
      </c>
      <c r="S9" s="8">
        <f>IF(AND($G9="Active",ISNUMBER($R9)),$R9,9999)</f>
        <v/>
      </c>
    </row>
    <row r="10">
      <c r="A10">
        <f>HYPERLINK("#'CHASE-BOUNDLESS'!A1","CHASE-BOUNDLESS")</f>
        <v/>
      </c>
      <c r="B10">
        <f>'CHASE-BOUNDLESS'!$B$2</f>
        <v/>
      </c>
      <c r="C10">
        <f>'CHASE-BOUNDLESS'!$B$3</f>
        <v/>
      </c>
      <c r="D10" s="2">
        <f>'CHASE-BOUNDLESS'!$B$5</f>
        <v/>
      </c>
      <c r="E10">
        <f>'CHASE-BOUNDLESS'!$B$6</f>
        <v/>
      </c>
      <c r="F10">
        <f>'CHASE-BOUNDLESS'!$B$7</f>
        <v/>
      </c>
      <c r="G10">
        <f>'CHASE-BOUNDLESS'!$B$4</f>
        <v/>
      </c>
      <c r="H10" s="4">
        <f>'CHASE-BOUNDLESS'!$B$12</f>
        <v/>
      </c>
      <c r="I10">
        <f>'CHASE-BOUNDLESS'!$E$5</f>
        <v/>
      </c>
      <c r="J10" s="4">
        <f>'CHASE-BOUNDLESS'!$E$3</f>
        <v/>
      </c>
      <c r="K10" s="4">
        <f>'CHASE-BOUNDLESS'!$E$4</f>
        <v/>
      </c>
      <c r="L10" s="4">
        <f>'CHASE-BOUNDLESS'!$E$6</f>
        <v/>
      </c>
      <c r="M10" s="4">
        <f>'CHASE-BOUNDLESS'!$E$8</f>
        <v/>
      </c>
      <c r="N10" s="4">
        <f>'CHASE-BOUNDLESS'!$E$9</f>
        <v/>
      </c>
      <c r="O10">
        <f>'CHASE-BOUNDLESS'!$E$10</f>
        <v/>
      </c>
      <c r="P10" s="6">
        <f>'CHASE-BOUNDLESS'!$E$12</f>
        <v/>
      </c>
      <c r="Q10">
        <f>'CHASE-BOUNDLESS'!$E$13</f>
        <v/>
      </c>
      <c r="R10">
        <f>'CHASE-BOUNDLESS'!$E$14</f>
        <v/>
      </c>
      <c r="S10" s="8">
        <f>IF(AND($G10="Active",ISNUMBER($R10)),$R10,9999)</f>
        <v/>
      </c>
    </row>
    <row r="11">
      <c r="A11">
        <f>HYPERLINK("#'CHASE-CSP'!A1","CHASE-CSP")</f>
        <v/>
      </c>
      <c r="B11">
        <f>'CHASE-CSP'!$B$2</f>
        <v/>
      </c>
      <c r="C11">
        <f>'CHASE-CSP'!$B$3</f>
        <v/>
      </c>
      <c r="D11" s="2">
        <f>'CHASE-CSP'!$B$5</f>
        <v/>
      </c>
      <c r="E11">
        <f>'CHASE-CSP'!$B$6</f>
        <v/>
      </c>
      <c r="F11">
        <f>'CHASE-CSP'!$B$7</f>
        <v/>
      </c>
      <c r="G11">
        <f>'CHASE-CSP'!$B$4</f>
        <v/>
      </c>
      <c r="H11" s="4">
        <f>'CHASE-CSP'!$B$12</f>
        <v/>
      </c>
      <c r="I11">
        <f>'CHASE-CSP'!$E$5</f>
        <v/>
      </c>
      <c r="J11" s="4">
        <f>'CHASE-CSP'!$E$3</f>
        <v/>
      </c>
      <c r="K11" s="4">
        <f>'CHASE-CSP'!$E$4</f>
        <v/>
      </c>
      <c r="L11" s="4">
        <f>'CHASE-CSP'!$E$6</f>
        <v/>
      </c>
      <c r="M11" s="4">
        <f>'CHASE-CSP'!$E$8</f>
        <v/>
      </c>
      <c r="N11" s="4">
        <f>'CHASE-CSP'!$E$9</f>
        <v/>
      </c>
      <c r="O11">
        <f>'CHASE-CSP'!$E$10</f>
        <v/>
      </c>
      <c r="P11" s="6">
        <f>'CHASE-CSP'!$E$12</f>
        <v/>
      </c>
      <c r="Q11">
        <f>'CHASE-CSP'!$E$13</f>
        <v/>
      </c>
      <c r="R11">
        <f>'CHASE-CSP'!$E$14</f>
        <v/>
      </c>
      <c r="S11" s="8">
        <f>IF(AND($G11="Active",ISNUMBER($R11)),$R11,9999)</f>
        <v/>
      </c>
    </row>
    <row r="12">
      <c r="S12" s="8">
        <f>IF(AND($G12="Active",ISNUMBER($R12)),$R12,9999)</f>
        <v/>
      </c>
    </row>
    <row r="13">
      <c r="S13" s="8">
        <f>IF(AND($G13="Active",ISNUMBER($R13)),$R13,9999)</f>
        <v/>
      </c>
    </row>
    <row r="14">
      <c r="S14" s="8">
        <f>IF(AND($G14="Active",ISNUMBER($R14)),$R14,9999)</f>
        <v/>
      </c>
    </row>
    <row r="15">
      <c r="S15" s="8">
        <f>IF(AND($G15="Active",ISNUMBER($R15)),$R15,9999)</f>
        <v/>
      </c>
    </row>
    <row r="16">
      <c r="S16" s="8">
        <f>IF(AND($G16="Active",ISNUMBER($R16)),$R16,9999)</f>
        <v/>
      </c>
    </row>
    <row r="17">
      <c r="S17" s="8">
        <f>IF(AND($G17="Active",ISNUMBER($R17)),$R17,9999)</f>
        <v/>
      </c>
    </row>
    <row r="18">
      <c r="S18" s="8">
        <f>IF(AND($G18="Active",ISNUMBER($R18)),$R18,9999)</f>
        <v/>
      </c>
    </row>
    <row r="19">
      <c r="S19" s="8">
        <f>IF(AND($G19="Active",ISNUMBER($R19)),$R19,9999)</f>
        <v/>
      </c>
    </row>
    <row r="20">
      <c r="S20" s="8">
        <f>IF(AND($G20="Active",ISNUMBER($R20)),$R20,9999)</f>
        <v/>
      </c>
    </row>
    <row r="21">
      <c r="S21" s="8">
        <f>IF(AND($G21="Active",ISNUMBER($R21)),$R21,9999)</f>
        <v/>
      </c>
    </row>
    <row r="22">
      <c r="S22" s="8">
        <f>IF(AND($G22="Active",ISNUMBER($R22)),$R22,9999)</f>
        <v/>
      </c>
    </row>
    <row r="23">
      <c r="S23" s="8">
        <f>IF(AND($G23="Active",ISNUMBER($R23)),$R23,9999)</f>
        <v/>
      </c>
    </row>
    <row r="24">
      <c r="S24" s="8">
        <f>IF(AND($G24="Active",ISNUMBER($R24)),$R24,9999)</f>
        <v/>
      </c>
    </row>
    <row r="25">
      <c r="S25" s="8">
        <f>IF(AND($G25="Active",ISNUMBER($R25)),$R25,9999)</f>
        <v/>
      </c>
    </row>
    <row r="26">
      <c r="S26" s="8">
        <f>IF(AND($G26="Active",ISNUMBER($R26)),$R26,9999)</f>
        <v/>
      </c>
    </row>
    <row r="27">
      <c r="S27" s="8">
        <f>IF(AND($G27="Active",ISNUMBER($R27)),$R27,9999)</f>
        <v/>
      </c>
    </row>
    <row r="28">
      <c r="S28" s="8">
        <f>IF(AND($G28="Active",ISNUMBER($R28)),$R28,9999)</f>
        <v/>
      </c>
    </row>
    <row r="29">
      <c r="E29" s="9">
        <f>IFERROR(AVERAGEIF($G$9:$G$28,"Active",$E$9:$E$28),"")</f>
        <v/>
      </c>
      <c r="H29" s="10">
        <f>SUMIF($G$9:$G$28,"Active",$H$9:$H$28)</f>
        <v/>
      </c>
      <c r="I29" s="10">
        <f>SUMIF($G$9:$G$28,"Active",$I$9:$I$28)</f>
        <v/>
      </c>
      <c r="J29" s="10">
        <f>SUMIF($G$9:$G$28,"Active",$J$9:$J$28)</f>
        <v/>
      </c>
      <c r="K29" s="10">
        <f>SUMIF($G$9:$G$28,"Active",$K$9:$K$28)</f>
        <v/>
      </c>
      <c r="L29" s="10">
        <f>SUMIF($G$9:$G$28,"Active",$L$9:$L$28)</f>
        <v/>
      </c>
      <c r="M29" s="10">
        <f>SUMIF($G$9:$G$28,"Active",$M$9:$M$28)</f>
        <v/>
      </c>
      <c r="N29" s="10">
        <f>SUMIF($G$9:$G$28,"Active",$N$9:$N$28)</f>
        <v/>
      </c>
      <c r="O29" s="9">
        <f>IF($M$29&gt;=0,"POSITIVE","NEGATIVE")</f>
        <v/>
      </c>
      <c r="P29" s="11">
        <f>IF($I$29=0,"",$K$29/$I$29)</f>
        <v/>
      </c>
      <c r="Q29" s="9">
        <f>SUMIF($G$9:$G$28,"Active",$Q$9:$Q$28)</f>
        <v/>
      </c>
    </row>
    <row r="31">
      <c r="A31" s="3" t="inlineStr">
        <is>
          <t>How to use</t>
        </is>
      </c>
    </row>
    <row r="32">
      <c r="A32" t="inlineStr">
        <is>
          <t>- Enter the AMOUNT you used in the month cell (e.g. 150 of a 200 credit). Green = counted. Blank = not used.</t>
        </is>
      </c>
    </row>
    <row r="33">
      <c r="A33" t="inlineStr">
        <is>
          <t>- If you enter more than the credit is worth, the workbook counts only the credit amount - a single cell is capped at 'Value/cycle', and the row total is capped at 'Max annual'.</t>
        </is>
      </c>
    </row>
    <row r="34">
      <c r="A34" t="inlineStr">
        <is>
          <t>- Orange cell = you entered more than that cycle's credit (capped automatically). Red banner = two uses inside the same quarter/half.</t>
        </is>
      </c>
    </row>
    <row r="35">
      <c r="A35" t="inlineStr">
        <is>
          <t>- Net benefit (statement credits) = used statement credits - annual fees charged. The 'incl. estimated' columns add perk values you set yourself.</t>
        </is>
      </c>
    </row>
    <row r="36">
      <c r="A36" t="inlineStr">
        <is>
          <t>- Cardmember-year credits reset on the card's anniversary, not Jan 1 - their month columns run from the AF posting month in column A10 of the card sheet.</t>
        </is>
      </c>
    </row>
    <row r="37">
      <c r="A37" t="inlineStr">
        <is>
          <t>- To add a card: copy the TEMPLATE tab, rename it, then copy a row in this table and Find/Replace the tab name.</t>
        </is>
      </c>
    </row>
    <row r="38">
      <c r="A38" t="inlineStr">
        <is>
          <t>- Card tabs group rows into sections by BASIS: SC (real statement credits - these move your net benefit), EST (your estimates), ACCESS (perks, no dollars).</t>
        </is>
      </c>
    </row>
    <row r="39">
      <c r="A39" t="inlineStr">
        <is>
          <t>- TYPE YOUR USAGE ON THE CARD TAB, in the month column. The 'Benefits' tab is read-only - typing there breaks the link.</t>
        </is>
      </c>
    </row>
    <row r="40">
      <c r="A40" t="inlineStr">
        <is>
          <t>- If a number you typed did not change the totals: check the row's Basis (ACCESS rows never add dollars) and check you typed in the MONTH column, not in 'Value/cycle'.</t>
        </is>
      </c>
    </row>
    <row r="41">
      <c r="A41" t="inlineStr">
        <is>
          <t>- Amber on 'At risk' means an unused credit expires within 30 days.</t>
        </is>
      </c>
    </row>
  </sheetData>
  <conditionalFormatting sqref="F4">
    <cfRule type="expression" priority="1" dxfId="0">
      <formula>$F$4="POSITIVE"</formula>
    </cfRule>
    <cfRule type="expression" priority="2" dxfId="1">
      <formula>$F$4="NEGATIVE"</formula>
    </cfRule>
  </conditionalFormatting>
  <conditionalFormatting sqref="H5">
    <cfRule type="expression" priority="3" dxfId="2" stopIfTrue="0">
      <formula>$H$5&gt;0</formula>
    </cfRule>
  </conditionalFormatting>
  <conditionalFormatting sqref="O9:O28">
    <cfRule type="expression" priority="4" dxfId="0">
      <formula>$O9="POSITIVE"</formula>
    </cfRule>
    <cfRule type="expression" priority="5" dxfId="1">
      <formula>$O9="NEGATIVE"</formula>
    </cfRule>
  </conditionalFormatting>
  <conditionalFormatting sqref="A9:R28">
    <cfRule type="expression" priority="6" dxfId="3">
      <formula>$G9="Closed"</formula>
    </cfRule>
  </conditionalFormatting>
  <conditionalFormatting sqref="Q9:Q28">
    <cfRule type="expression" priority="7" dxfId="2">
      <formula>AND($G9="Active",$Q9&gt;0)</formula>
    </cfRule>
  </conditionalFormatting>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19" customWidth="1" min="1" max="1"/>
    <col width="46" customWidth="1" min="2" max="2"/>
    <col width="10" customWidth="1" min="3" max="3"/>
    <col width="14" customWidth="1" min="4" max="4"/>
    <col width="11" customWidth="1" min="5" max="5"/>
    <col width="12" customWidth="1" min="6" max="6"/>
    <col width="12" customWidth="1" min="7" max="7"/>
    <col width="11" customWidth="1" min="8" max="8"/>
    <col width="11" customWidth="1" min="9" max="9"/>
    <col width="10" customWidth="1" min="10" max="10"/>
    <col width="70" customWidth="1" min="11" max="11"/>
    <col width="7" customWidth="1" min="12" max="12"/>
  </cols>
  <sheetData>
    <row r="1">
      <c r="A1" s="1" t="inlineStr">
        <is>
          <t>Every benefit, every card - one live list, grouped by Basis</t>
        </is>
      </c>
    </row>
    <row r="2">
      <c r="A2" s="12" t="inlineStr">
        <is>
          <t>All values, usage and reset dates are formulas pointing at the card tabs. Enter your usage on the CARD TAB - do not type in this sheet, it will break the link.</t>
        </is>
      </c>
    </row>
    <row r="4">
      <c r="A4" s="7" t="inlineStr">
        <is>
          <t>Card</t>
        </is>
      </c>
      <c r="B4" s="7" t="inlineStr">
        <is>
          <t>Benefit</t>
        </is>
      </c>
      <c r="C4" s="7" t="inlineStr">
        <is>
          <t>Basis</t>
        </is>
      </c>
      <c r="D4" s="7" t="inlineStr">
        <is>
          <t>Cycle</t>
        </is>
      </c>
      <c r="E4" s="7" t="inlineStr">
        <is>
          <t>Resets on</t>
        </is>
      </c>
      <c r="F4" s="7" t="inlineStr">
        <is>
          <t>Value/cycle</t>
        </is>
      </c>
      <c r="G4" s="7" t="inlineStr">
        <is>
          <t>Max annual</t>
        </is>
      </c>
      <c r="H4" s="7" t="inlineStr">
        <is>
          <t>Used</t>
        </is>
      </c>
      <c r="I4" s="7" t="inlineStr">
        <is>
          <t>Remaining</t>
        </is>
      </c>
      <c r="J4" s="7" t="inlineStr">
        <is>
          <t>Status</t>
        </is>
      </c>
      <c r="K4" s="7" t="inlineStr">
        <is>
          <t>Note / source</t>
        </is>
      </c>
      <c r="L4" s="7" t="inlineStr">
        <is>
          <t>Open</t>
        </is>
      </c>
    </row>
    <row r="5">
      <c r="A5">
        <f>'CHASE-UNITED-QUEST'!$B$1</f>
        <v/>
      </c>
      <c r="B5">
        <f>'CHASE-UNITED-QUEST'!$A21</f>
        <v/>
      </c>
      <c r="C5">
        <f>'CHASE-UNITED-QUEST'!$B21</f>
        <v/>
      </c>
      <c r="D5">
        <f>'CHASE-UNITED-QUEST'!$C21</f>
        <v/>
      </c>
      <c r="E5" s="2">
        <f>IFERROR('CHASE-UNITED-QUEST'!$J21,"")</f>
        <v/>
      </c>
      <c r="F5" s="4">
        <f>'CHASE-UNITED-QUEST'!$D21</f>
        <v/>
      </c>
      <c r="G5" s="4">
        <f>IF('CHASE-UNITED-QUEST'!$F21="","",'CHASE-UNITED-QUEST'!$F21)</f>
        <v/>
      </c>
      <c r="H5" s="4">
        <f>IF('CHASE-UNITED-QUEST'!$G21="","",'CHASE-UNITED-QUEST'!$G21)</f>
        <v/>
      </c>
      <c r="I5" s="4">
        <f>IF('CHASE-UNITED-QUEST'!$H21="","",'CHASE-UNITED-QUEST'!$H21)</f>
        <v/>
      </c>
      <c r="J5">
        <f>IF(ISNUMBER(SEARCH("PENDING",'CHASE-UNITED-QUEST'!$Z21&amp;"")),"PENDING","")</f>
        <v/>
      </c>
      <c r="K5">
        <f>IF('CHASE-UNITED-QUEST'!$Z21="","",'CHASE-UNITED-QUEST'!$Z21)</f>
        <v/>
      </c>
      <c r="L5">
        <f>HYPERLINK("#'CHASE-UNITED-QUEST'!A21","open")</f>
        <v/>
      </c>
    </row>
    <row r="6">
      <c r="A6">
        <f>'CHASE-UNITED-QUEST'!$B$1</f>
        <v/>
      </c>
      <c r="B6">
        <f>'CHASE-UNITED-QUEST'!$A22</f>
        <v/>
      </c>
      <c r="C6">
        <f>'CHASE-UNITED-QUEST'!$B22</f>
        <v/>
      </c>
      <c r="D6">
        <f>'CHASE-UNITED-QUEST'!$C22</f>
        <v/>
      </c>
      <c r="E6" s="2">
        <f>IFERROR('CHASE-UNITED-QUEST'!$J22,"")</f>
        <v/>
      </c>
      <c r="F6" s="4">
        <f>'CHASE-UNITED-QUEST'!$D22</f>
        <v/>
      </c>
      <c r="G6" s="4">
        <f>IF('CHASE-UNITED-QUEST'!$F22="","",'CHASE-UNITED-QUEST'!$F22)</f>
        <v/>
      </c>
      <c r="H6" s="4">
        <f>IF('CHASE-UNITED-QUEST'!$G22="","",'CHASE-UNITED-QUEST'!$G22)</f>
        <v/>
      </c>
      <c r="I6" s="4">
        <f>IF('CHASE-UNITED-QUEST'!$H22="","",'CHASE-UNITED-QUEST'!$H22)</f>
        <v/>
      </c>
      <c r="J6">
        <f>IF(ISNUMBER(SEARCH("PENDING",'CHASE-UNITED-QUEST'!$Z22&amp;"")),"PENDING","")</f>
        <v/>
      </c>
      <c r="K6">
        <f>IF('CHASE-UNITED-QUEST'!$Z22="","",'CHASE-UNITED-QUEST'!$Z22)</f>
        <v/>
      </c>
      <c r="L6">
        <f>HYPERLINK("#'CHASE-UNITED-QUEST'!A22","open")</f>
        <v/>
      </c>
    </row>
    <row r="7">
      <c r="A7">
        <f>'CHASE-UNITED-QUEST'!$B$1</f>
        <v/>
      </c>
      <c r="B7">
        <f>'CHASE-UNITED-QUEST'!$A27</f>
        <v/>
      </c>
      <c r="C7">
        <f>'CHASE-UNITED-QUEST'!$B27</f>
        <v/>
      </c>
      <c r="D7">
        <f>'CHASE-UNITED-QUEST'!$C27</f>
        <v/>
      </c>
      <c r="E7" s="2">
        <f>IFERROR('CHASE-UNITED-QUEST'!$J27,"")</f>
        <v/>
      </c>
      <c r="F7" s="4">
        <f>'CHASE-UNITED-QUEST'!$D27</f>
        <v/>
      </c>
      <c r="G7" s="4">
        <f>IF('CHASE-UNITED-QUEST'!$F27="","",'CHASE-UNITED-QUEST'!$F27)</f>
        <v/>
      </c>
      <c r="H7" s="4">
        <f>IF('CHASE-UNITED-QUEST'!$G27="","",'CHASE-UNITED-QUEST'!$G27)</f>
        <v/>
      </c>
      <c r="I7" s="4">
        <f>IF('CHASE-UNITED-QUEST'!$H27="","",'CHASE-UNITED-QUEST'!$H27)</f>
        <v/>
      </c>
      <c r="J7">
        <f>IF(ISNUMBER(SEARCH("PENDING",'CHASE-UNITED-QUEST'!$Z27&amp;"")),"PENDING","")</f>
        <v/>
      </c>
      <c r="K7">
        <f>IF('CHASE-UNITED-QUEST'!$Z27="","",'CHASE-UNITED-QUEST'!$Z27)</f>
        <v/>
      </c>
      <c r="L7">
        <f>HYPERLINK("#'CHASE-UNITED-QUEST'!A27","open")</f>
        <v/>
      </c>
    </row>
    <row r="8">
      <c r="A8">
        <f>'CHASE-UNITED-QUEST'!$B$1</f>
        <v/>
      </c>
      <c r="B8">
        <f>'CHASE-UNITED-QUEST'!$A28</f>
        <v/>
      </c>
      <c r="C8">
        <f>'CHASE-UNITED-QUEST'!$B28</f>
        <v/>
      </c>
      <c r="D8">
        <f>'CHASE-UNITED-QUEST'!$C28</f>
        <v/>
      </c>
      <c r="E8" s="2">
        <f>IFERROR('CHASE-UNITED-QUEST'!$J28,"")</f>
        <v/>
      </c>
      <c r="F8" s="4">
        <f>'CHASE-UNITED-QUEST'!$D28</f>
        <v/>
      </c>
      <c r="G8" s="4">
        <f>IF('CHASE-UNITED-QUEST'!$F28="","",'CHASE-UNITED-QUEST'!$F28)</f>
        <v/>
      </c>
      <c r="H8" s="4">
        <f>IF('CHASE-UNITED-QUEST'!$G28="","",'CHASE-UNITED-QUEST'!$G28)</f>
        <v/>
      </c>
      <c r="I8" s="4">
        <f>IF('CHASE-UNITED-QUEST'!$H28="","",'CHASE-UNITED-QUEST'!$H28)</f>
        <v/>
      </c>
      <c r="J8">
        <f>IF(ISNUMBER(SEARCH("PENDING",'CHASE-UNITED-QUEST'!$Z28&amp;"")),"PENDING","")</f>
        <v/>
      </c>
      <c r="K8">
        <f>IF('CHASE-UNITED-QUEST'!$Z28="","",'CHASE-UNITED-QUEST'!$Z28)</f>
        <v/>
      </c>
      <c r="L8">
        <f>HYPERLINK("#'CHASE-UNITED-QUEST'!A28","open")</f>
        <v/>
      </c>
    </row>
    <row r="9">
      <c r="A9">
        <f>'CHASE-UNITED-QUEST'!$B$1</f>
        <v/>
      </c>
      <c r="B9">
        <f>'CHASE-UNITED-QUEST'!$A29</f>
        <v/>
      </c>
      <c r="C9">
        <f>'CHASE-UNITED-QUEST'!$B29</f>
        <v/>
      </c>
      <c r="D9">
        <f>'CHASE-UNITED-QUEST'!$C29</f>
        <v/>
      </c>
      <c r="E9" s="2">
        <f>IFERROR('CHASE-UNITED-QUEST'!$J29,"")</f>
        <v/>
      </c>
      <c r="F9" s="4">
        <f>'CHASE-UNITED-QUEST'!$D29</f>
        <v/>
      </c>
      <c r="G9" s="4">
        <f>IF('CHASE-UNITED-QUEST'!$F29="","",'CHASE-UNITED-QUEST'!$F29)</f>
        <v/>
      </c>
      <c r="H9" s="4">
        <f>IF('CHASE-UNITED-QUEST'!$G29="","",'CHASE-UNITED-QUEST'!$G29)</f>
        <v/>
      </c>
      <c r="I9" s="4">
        <f>IF('CHASE-UNITED-QUEST'!$H29="","",'CHASE-UNITED-QUEST'!$H29)</f>
        <v/>
      </c>
      <c r="J9">
        <f>IF(ISNUMBER(SEARCH("PENDING",'CHASE-UNITED-QUEST'!$Z29&amp;"")),"PENDING","")</f>
        <v/>
      </c>
      <c r="K9">
        <f>IF('CHASE-UNITED-QUEST'!$Z29="","",'CHASE-UNITED-QUEST'!$Z29)</f>
        <v/>
      </c>
      <c r="L9">
        <f>HYPERLINK("#'CHASE-UNITED-QUEST'!A29","open")</f>
        <v/>
      </c>
    </row>
    <row r="10">
      <c r="A10">
        <f>'CHASE-UNITED-QUEST'!$B$1</f>
        <v/>
      </c>
      <c r="B10">
        <f>'CHASE-UNITED-QUEST'!$A30</f>
        <v/>
      </c>
      <c r="C10">
        <f>'CHASE-UNITED-QUEST'!$B30</f>
        <v/>
      </c>
      <c r="D10">
        <f>'CHASE-UNITED-QUEST'!$C30</f>
        <v/>
      </c>
      <c r="E10" s="2">
        <f>IFERROR('CHASE-UNITED-QUEST'!$J30,"")</f>
        <v/>
      </c>
      <c r="F10" s="4">
        <f>'CHASE-UNITED-QUEST'!$D30</f>
        <v/>
      </c>
      <c r="G10" s="4">
        <f>IF('CHASE-UNITED-QUEST'!$F30="","",'CHASE-UNITED-QUEST'!$F30)</f>
        <v/>
      </c>
      <c r="H10" s="4">
        <f>IF('CHASE-UNITED-QUEST'!$G30="","",'CHASE-UNITED-QUEST'!$G30)</f>
        <v/>
      </c>
      <c r="I10" s="4">
        <f>IF('CHASE-UNITED-QUEST'!$H30="","",'CHASE-UNITED-QUEST'!$H30)</f>
        <v/>
      </c>
      <c r="J10">
        <f>IF(ISNUMBER(SEARCH("PENDING",'CHASE-UNITED-QUEST'!$Z30&amp;"")),"PENDING","")</f>
        <v/>
      </c>
      <c r="K10">
        <f>IF('CHASE-UNITED-QUEST'!$Z30="","",'CHASE-UNITED-QUEST'!$Z30)</f>
        <v/>
      </c>
      <c r="L10">
        <f>HYPERLINK("#'CHASE-UNITED-QUEST'!A30","open")</f>
        <v/>
      </c>
    </row>
    <row r="11">
      <c r="A11">
        <f>'CHASE-UNITED-QUEST'!$B$1</f>
        <v/>
      </c>
      <c r="B11">
        <f>'CHASE-UNITED-QUEST'!$A35</f>
        <v/>
      </c>
      <c r="C11">
        <f>'CHASE-UNITED-QUEST'!$B35</f>
        <v/>
      </c>
      <c r="D11">
        <f>'CHASE-UNITED-QUEST'!$C35</f>
        <v/>
      </c>
      <c r="E11" s="2">
        <f>IFERROR('CHASE-UNITED-QUEST'!$J35,"")</f>
        <v/>
      </c>
      <c r="F11" s="4">
        <f>'CHASE-UNITED-QUEST'!$D35</f>
        <v/>
      </c>
      <c r="G11" s="4">
        <f>IF('CHASE-UNITED-QUEST'!$F35="","",'CHASE-UNITED-QUEST'!$F35)</f>
        <v/>
      </c>
      <c r="H11" s="4">
        <f>IF('CHASE-UNITED-QUEST'!$G35="","",'CHASE-UNITED-QUEST'!$G35)</f>
        <v/>
      </c>
      <c r="I11" s="4">
        <f>IF('CHASE-UNITED-QUEST'!$H35="","",'CHASE-UNITED-QUEST'!$H35)</f>
        <v/>
      </c>
      <c r="J11">
        <f>IF(ISNUMBER(SEARCH("PENDING",'CHASE-UNITED-QUEST'!$Z35&amp;"")),"PENDING","")</f>
        <v/>
      </c>
      <c r="K11">
        <f>IF('CHASE-UNITED-QUEST'!$Z35="","",'CHASE-UNITED-QUEST'!$Z35)</f>
        <v/>
      </c>
      <c r="L11">
        <f>HYPERLINK("#'CHASE-UNITED-QUEST'!A35","open")</f>
        <v/>
      </c>
    </row>
    <row r="12">
      <c r="A12">
        <f>'CHASE-UNITED-QUEST'!$B$1</f>
        <v/>
      </c>
      <c r="B12">
        <f>'CHASE-UNITED-QUEST'!$A40</f>
        <v/>
      </c>
      <c r="C12">
        <f>'CHASE-UNITED-QUEST'!$B40</f>
        <v/>
      </c>
      <c r="D12">
        <f>'CHASE-UNITED-QUEST'!$C40</f>
        <v/>
      </c>
      <c r="E12" s="2">
        <f>IF('CHASE-UNITED-QUEST'!$H40="","",'CHASE-UNITED-QUEST'!$H40)</f>
        <v/>
      </c>
      <c r="F12" s="4">
        <f>'CHASE-UNITED-QUEST'!$D40</f>
        <v/>
      </c>
      <c r="G12" s="4">
        <f>'CHASE-UNITED-QUEST'!$E40</f>
        <v/>
      </c>
      <c r="H12" s="4">
        <f>'CHASE-UNITED-QUEST'!$J40</f>
        <v/>
      </c>
      <c r="I12" s="4">
        <f>IF(ISNUMBER('CHASE-UNITED-QUEST'!$D40),MAX(0,'CHASE-UNITED-QUEST'!$D40-'CHASE-UNITED-QUEST'!$J40),"")</f>
        <v/>
      </c>
      <c r="J12">
        <f>IF(ISNUMBER(SEARCH("PENDING",'CHASE-UNITED-QUEST'!$Z40&amp;"")),"PENDING","")</f>
        <v/>
      </c>
      <c r="K12">
        <f>IF('CHASE-UNITED-QUEST'!$Z40="","",'CHASE-UNITED-QUEST'!$Z40)</f>
        <v/>
      </c>
      <c r="L12">
        <f>HYPERLINK("#'CHASE-UNITED-QUEST'!A40","open")</f>
        <v/>
      </c>
    </row>
    <row r="13">
      <c r="A13">
        <f>'CHASE-BOUNDLESS'!$B$1</f>
        <v/>
      </c>
      <c r="B13">
        <f>'CHASE-BOUNDLESS'!$A21</f>
        <v/>
      </c>
      <c r="C13">
        <f>'CHASE-BOUNDLESS'!$B21</f>
        <v/>
      </c>
      <c r="D13">
        <f>'CHASE-BOUNDLESS'!$C21</f>
        <v/>
      </c>
      <c r="E13" s="2">
        <f>IFERROR('CHASE-BOUNDLESS'!$J21,"")</f>
        <v/>
      </c>
      <c r="F13" s="4">
        <f>'CHASE-BOUNDLESS'!$D21</f>
        <v/>
      </c>
      <c r="G13" s="4">
        <f>IF('CHASE-BOUNDLESS'!$F21="","",'CHASE-BOUNDLESS'!$F21)</f>
        <v/>
      </c>
      <c r="H13" s="4">
        <f>IF('CHASE-BOUNDLESS'!$G21="","",'CHASE-BOUNDLESS'!$G21)</f>
        <v/>
      </c>
      <c r="I13" s="4">
        <f>IF('CHASE-BOUNDLESS'!$H21="","",'CHASE-BOUNDLESS'!$H21)</f>
        <v/>
      </c>
      <c r="J13">
        <f>IF(ISNUMBER(SEARCH("PENDING",'CHASE-BOUNDLESS'!$Z21&amp;"")),"PENDING","")</f>
        <v/>
      </c>
      <c r="K13">
        <f>IF('CHASE-BOUNDLESS'!$Z21="","",'CHASE-BOUNDLESS'!$Z21)</f>
        <v/>
      </c>
      <c r="L13">
        <f>HYPERLINK("#'CHASE-BOUNDLESS'!A21","open")</f>
        <v/>
      </c>
    </row>
    <row r="14">
      <c r="A14">
        <f>'CHASE-BOUNDLESS'!$B$1</f>
        <v/>
      </c>
      <c r="B14">
        <f>'CHASE-BOUNDLESS'!$A26</f>
        <v/>
      </c>
      <c r="C14">
        <f>'CHASE-BOUNDLESS'!$B26</f>
        <v/>
      </c>
      <c r="D14">
        <f>'CHASE-BOUNDLESS'!$C26</f>
        <v/>
      </c>
      <c r="E14" s="2">
        <f>IFERROR('CHASE-BOUNDLESS'!$J26,"")</f>
        <v/>
      </c>
      <c r="F14" s="4">
        <f>'CHASE-BOUNDLESS'!$D26</f>
        <v/>
      </c>
      <c r="G14" s="4">
        <f>IF('CHASE-BOUNDLESS'!$F26="","",'CHASE-BOUNDLESS'!$F26)</f>
        <v/>
      </c>
      <c r="H14" s="4">
        <f>IF('CHASE-BOUNDLESS'!$G26="","",'CHASE-BOUNDLESS'!$G26)</f>
        <v/>
      </c>
      <c r="I14" s="4">
        <f>IF('CHASE-BOUNDLESS'!$H26="","",'CHASE-BOUNDLESS'!$H26)</f>
        <v/>
      </c>
      <c r="J14">
        <f>IF(ISNUMBER(SEARCH("PENDING",'CHASE-BOUNDLESS'!$Z26&amp;"")),"PENDING","")</f>
        <v/>
      </c>
      <c r="K14">
        <f>IF('CHASE-BOUNDLESS'!$Z26="","",'CHASE-BOUNDLESS'!$Z26)</f>
        <v/>
      </c>
      <c r="L14">
        <f>HYPERLINK("#'CHASE-BOUNDLESS'!A26","open")</f>
        <v/>
      </c>
    </row>
    <row r="15">
      <c r="A15">
        <f>'CHASE-BOUNDLESS'!$B$1</f>
        <v/>
      </c>
      <c r="B15">
        <f>'CHASE-BOUNDLESS'!$A31</f>
        <v/>
      </c>
      <c r="C15">
        <f>'CHASE-BOUNDLESS'!$B31</f>
        <v/>
      </c>
      <c r="D15">
        <f>'CHASE-BOUNDLESS'!$C31</f>
        <v/>
      </c>
      <c r="E15" s="2">
        <f>IFERROR('CHASE-BOUNDLESS'!$J31,"")</f>
        <v/>
      </c>
      <c r="F15" s="4">
        <f>'CHASE-BOUNDLESS'!$D31</f>
        <v/>
      </c>
      <c r="G15" s="4">
        <f>IF('CHASE-BOUNDLESS'!$F31="","",'CHASE-BOUNDLESS'!$F31)</f>
        <v/>
      </c>
      <c r="H15" s="4">
        <f>IF('CHASE-BOUNDLESS'!$G31="","",'CHASE-BOUNDLESS'!$G31)</f>
        <v/>
      </c>
      <c r="I15" s="4">
        <f>IF('CHASE-BOUNDLESS'!$H31="","",'CHASE-BOUNDLESS'!$H31)</f>
        <v/>
      </c>
      <c r="J15">
        <f>IF(ISNUMBER(SEARCH("PENDING",'CHASE-BOUNDLESS'!$Z31&amp;"")),"PENDING","")</f>
        <v/>
      </c>
      <c r="K15">
        <f>IF('CHASE-BOUNDLESS'!$Z31="","",'CHASE-BOUNDLESS'!$Z31)</f>
        <v/>
      </c>
      <c r="L15">
        <f>HYPERLINK("#'CHASE-BOUNDLESS'!A31","open")</f>
        <v/>
      </c>
    </row>
    <row r="16">
      <c r="A16">
        <f>'CHASE-CSP'!$B$1</f>
        <v/>
      </c>
      <c r="B16">
        <f>'CHASE-CSP'!$A21</f>
        <v/>
      </c>
      <c r="C16">
        <f>'CHASE-CSP'!$B21</f>
        <v/>
      </c>
      <c r="D16">
        <f>'CHASE-CSP'!$C21</f>
        <v/>
      </c>
      <c r="E16" s="2">
        <f>IFERROR('CHASE-CSP'!$J21,"")</f>
        <v/>
      </c>
      <c r="F16" s="4">
        <f>'CHASE-CSP'!$D21</f>
        <v/>
      </c>
      <c r="G16" s="4">
        <f>IF('CHASE-CSP'!$F21="","",'CHASE-CSP'!$F21)</f>
        <v/>
      </c>
      <c r="H16" s="4">
        <f>IF('CHASE-CSP'!$G21="","",'CHASE-CSP'!$G21)</f>
        <v/>
      </c>
      <c r="I16" s="4">
        <f>IF('CHASE-CSP'!$H21="","",'CHASE-CSP'!$H21)</f>
        <v/>
      </c>
      <c r="J16">
        <f>IF(ISNUMBER(SEARCH("PENDING",'CHASE-CSP'!$Z21&amp;"")),"PENDING","")</f>
        <v/>
      </c>
      <c r="K16">
        <f>IF('CHASE-CSP'!$Z21="","",'CHASE-CSP'!$Z21)</f>
        <v/>
      </c>
      <c r="L16">
        <f>HYPERLINK("#'CHASE-CSP'!A21","open")</f>
        <v/>
      </c>
    </row>
    <row r="17">
      <c r="A17">
        <f>'CHASE-CSP'!$B$1</f>
        <v/>
      </c>
      <c r="B17">
        <f>'CHASE-CSP'!$A26</f>
        <v/>
      </c>
      <c r="C17">
        <f>'CHASE-CSP'!$B26</f>
        <v/>
      </c>
      <c r="D17">
        <f>'CHASE-CSP'!$C26</f>
        <v/>
      </c>
      <c r="E17" s="2">
        <f>IFERROR('CHASE-CSP'!$J26,"")</f>
        <v/>
      </c>
      <c r="F17" s="4">
        <f>'CHASE-CSP'!$D26</f>
        <v/>
      </c>
      <c r="G17" s="4">
        <f>IF('CHASE-CSP'!$F26="","",'CHASE-CSP'!$F26)</f>
        <v/>
      </c>
      <c r="H17" s="4">
        <f>IF('CHASE-CSP'!$G26="","",'CHASE-CSP'!$G26)</f>
        <v/>
      </c>
      <c r="I17" s="4">
        <f>IF('CHASE-CSP'!$H26="","",'CHASE-CSP'!$H26)</f>
        <v/>
      </c>
      <c r="J17">
        <f>IF(ISNUMBER(SEARCH("PENDING",'CHASE-CSP'!$Z26&amp;"")),"PENDING","")</f>
        <v/>
      </c>
      <c r="K17">
        <f>IF('CHASE-CSP'!$Z26="","",'CHASE-CSP'!$Z26)</f>
        <v/>
      </c>
      <c r="L17">
        <f>HYPERLINK("#'CHASE-CSP'!A26","open")</f>
        <v/>
      </c>
    </row>
    <row r="18">
      <c r="A18">
        <f>'CHASE-CSP'!$B$1</f>
        <v/>
      </c>
      <c r="B18">
        <f>'CHASE-CSP'!$A31</f>
        <v/>
      </c>
      <c r="C18">
        <f>'CHASE-CSP'!$B31</f>
        <v/>
      </c>
      <c r="D18">
        <f>'CHASE-CSP'!$C31</f>
        <v/>
      </c>
      <c r="E18" s="2">
        <f>IF('CHASE-CSP'!$H31="","",'CHASE-CSP'!$H31)</f>
        <v/>
      </c>
      <c r="F18" s="4">
        <f>'CHASE-CSP'!$D31</f>
        <v/>
      </c>
      <c r="G18" s="4">
        <f>'CHASE-CSP'!$E31</f>
        <v/>
      </c>
      <c r="H18" s="4">
        <f>'CHASE-CSP'!$J31</f>
        <v/>
      </c>
      <c r="I18" s="4">
        <f>IF(ISNUMBER('CHASE-CSP'!$D31),MAX(0,'CHASE-CSP'!$D31-'CHASE-CSP'!$J31),"")</f>
        <v/>
      </c>
      <c r="J18">
        <f>IF(ISNUMBER(SEARCH("PENDING",'CHASE-CSP'!$Z31&amp;"")),"PENDING","")</f>
        <v/>
      </c>
      <c r="K18">
        <f>IF('CHASE-CSP'!$Z31="","",'CHASE-CSP'!$Z31)</f>
        <v/>
      </c>
      <c r="L18">
        <f>HYPERLINK("#'CHASE-CSP'!A31","open")</f>
        <v/>
      </c>
    </row>
  </sheetData>
  <autoFilter ref="A4:L18"/>
  <conditionalFormatting sqref="A5:E18">
    <cfRule type="expression" priority="1" dxfId="3" stopIfTrue="0">
      <formula>$C5="ACCESS"</formula>
    </cfRule>
  </conditionalFormatting>
  <conditionalFormatting sqref="H5:I18">
    <cfRule type="expression" priority="2" dxfId="4" stopIfTrue="0">
      <formula>AND(ISNUMBER($H5),$H5&gt;0)</formula>
    </cfRule>
  </conditionalFormatting>
  <conditionalFormatting sqref="J5:J18">
    <cfRule type="expression" priority="3" dxfId="5" stopIfTrue="0">
      <formula>$J5="PENDING"</formula>
    </cfRule>
  </conditionalFormatting>
  <pageMargins left="0.75" right="0.75" top="1" bottom="1" header="0.5" footer="0.5"/>
</worksheet>
</file>

<file path=xl/worksheets/sheet3.xml><?xml version="1.0" encoding="utf-8"?>
<worksheet xmlns="http://schemas.openxmlformats.org/spreadsheetml/2006/main">
  <sheetPr>
    <tabColor rgb="008EAADB"/>
    <outlinePr summaryBelow="1" summaryRight="1"/>
    <pageSetUpPr/>
  </sheetPr>
  <dimension ref="A1:Z41"/>
  <sheetViews>
    <sheetView workbookViewId="0">
      <pane xSplit="11" ySplit="18" topLeftCell="L19"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5" customWidth="1" min="3" max="3"/>
    <col width="13" customWidth="1" min="4" max="4"/>
    <col width="8" customWidth="1" min="5" max="5"/>
    <col width="12" customWidth="1" min="6" max="6"/>
    <col width="12" customWidth="1" min="7" max="7"/>
    <col width="12" customWidth="1" min="8" max="8"/>
    <col width="10" customWidth="1" min="9" max="9"/>
    <col hidden="1" width="11" customWidth="1" min="10" max="10"/>
    <col hidden="1" width="9"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hidden="1" width="13" customWidth="1" min="24" max="24"/>
    <col hidden="1" width="13" customWidth="1" min="25" max="25"/>
    <col width="62" customWidth="1" min="26" max="26"/>
  </cols>
  <sheetData>
    <row r="1">
      <c r="A1" s="3" t="inlineStr">
        <is>
          <t>Card</t>
        </is>
      </c>
      <c r="B1" t="inlineStr">
        <is>
          <t>CHASE-UNITED-QUEST</t>
        </is>
      </c>
    </row>
    <row r="2">
      <c r="A2" s="3" t="inlineStr">
        <is>
          <t>Issuer</t>
        </is>
      </c>
      <c r="B2" t="inlineStr">
        <is>
          <t>Chase</t>
        </is>
      </c>
      <c r="Z2" t="inlineStr">
        <is>
          <t>Annual fee $350 in 2026 (was $250 before). Open date is a PLACEHOLDER - change B5 and B10 to the real approval date.</t>
        </is>
      </c>
    </row>
    <row r="3">
      <c r="A3" s="3" t="inlineStr">
        <is>
          <t>Product (exact)</t>
        </is>
      </c>
      <c r="B3" t="inlineStr">
        <is>
          <t>United Quest Card</t>
        </is>
      </c>
      <c r="D3" s="3" t="inlineStr">
        <is>
          <t>Credits used YTD - statement credits (SC)</t>
        </is>
      </c>
      <c r="E3" s="4">
        <f>SUMIF($B$21:$B$22,"SC",$G$21:$G$22)+SUMIF($B$27:$B$30,"SC",$G$27:$G$30)+SUMIF($B$35:$B$35,"SC",$G$35:$G$35)+SUMIFS($F$40:$F$40,$B$40:$B$40,"SC",$I$40:$I$40,"y")</f>
        <v/>
      </c>
      <c r="G3">
        <f>HYPERLINK("#'Dashboard'!A1","&lt; back to Dashboard")</f>
        <v/>
      </c>
      <c r="H3">
        <f>MIN($Y$21:$Y$22,$Y$27:$Y$30,$Y$35:$Y$35)</f>
        <v/>
      </c>
    </row>
    <row r="4">
      <c r="A4" s="3" t="inlineStr">
        <is>
          <t>Card status</t>
        </is>
      </c>
      <c r="B4" t="inlineStr">
        <is>
          <t>Active</t>
        </is>
      </c>
      <c r="D4" s="3" t="inlineStr">
        <is>
          <t>Credits used YTD - incl. estimated (SC+EST)</t>
        </is>
      </c>
      <c r="E4" s="4">
        <f>SUMIF($B$21:$B$22,"SC",$G$21:$G$22)+SUMIF($B$27:$B$30,"SC",$G$27:$G$30)+SUMIF($B$35:$B$35,"SC",$G$35:$G$35)+SUMIFS($F$40:$F$40,$B$40:$B$40,"SC",$I$40:$I$40,"y")+SUMIF($B$21:$B$22,"EST",$G$21:$G$22)+SUMIF($B$27:$B$30,"EST",$G$27:$G$30)+SUMIF($B$35:$B$35,"EST",$G$35:$G$35)+SUMIFS($F$40:$F$40,$B$40:$B$40,"EST",$I$40:$I$40,"y")</f>
        <v/>
      </c>
      <c r="H4">
        <f>SUMIF($B$21:$B$22,"SC",$F$21:$F$22)+SUMIF($B$27:$B$30,"SC",$F$27:$F$30)+SUMIF($B$35:$B$35,"SC",$F$35:$F$35)+SUMIFS($F$40:$F$40,$B$40:$B$40,"SC")</f>
        <v/>
      </c>
    </row>
    <row r="5">
      <c r="A5" s="3" t="inlineStr">
        <is>
          <t>Open date (approval)</t>
        </is>
      </c>
      <c r="B5" s="2" t="n">
        <v>46023</v>
      </c>
      <c r="D5" s="3" t="inlineStr">
        <is>
          <t>Max annual value (statement credits + estimated)</t>
        </is>
      </c>
      <c r="E5" s="4">
        <f>SUM($F$21:$F$22)+SUM($F$27:$F$30)+SUM($F$35:$F$35)+SUM($F$40:$F$40)</f>
        <v/>
      </c>
    </row>
    <row r="6">
      <c r="A6" s="3" t="inlineStr">
        <is>
          <t>Months held</t>
        </is>
      </c>
      <c r="B6">
        <f>IF($B$5="","",DATEDIF($B$5,TODAY(),"m"))</f>
        <v/>
      </c>
      <c r="D6" s="3" t="inlineStr">
        <is>
          <t>Remaining annual credit value (incl. est.)</t>
        </is>
      </c>
      <c r="E6" s="4">
        <f>MAX(0,$E$5-$E$4)</f>
        <v/>
      </c>
    </row>
    <row r="7">
      <c r="A7" s="3" t="inlineStr">
        <is>
          <t>Years held</t>
        </is>
      </c>
      <c r="B7">
        <f>IF($B$6="","",ROUND($B$6/12,1))</f>
        <v/>
      </c>
      <c r="D7" s="3" t="inlineStr">
        <is>
          <t>Remaining - statement credits only</t>
        </is>
      </c>
      <c r="E7" s="4">
        <f>MAX(0,$H$4-$E$3)</f>
        <v/>
      </c>
    </row>
    <row r="8">
      <c r="A8" s="3" t="inlineStr">
        <is>
          <t>Annual fee (USD)</t>
        </is>
      </c>
      <c r="B8" s="4" t="n">
        <v>350</v>
      </c>
      <c r="D8" s="3" t="inlineStr">
        <is>
          <t>Net benefit - statement credits</t>
        </is>
      </c>
      <c r="E8" s="5">
        <f>$E$3-$B$12</f>
        <v/>
      </c>
    </row>
    <row r="9">
      <c r="A9" s="3" t="inlineStr">
        <is>
          <t>First-year AF waived?</t>
        </is>
      </c>
      <c r="D9" s="3" t="inlineStr">
        <is>
          <t>Net benefit - incl. estimated</t>
        </is>
      </c>
      <c r="E9" s="4">
        <f>$E$4-$B$12</f>
        <v/>
      </c>
    </row>
    <row r="10">
      <c r="A10" s="3" t="inlineStr">
        <is>
          <t>AF posting date (current cycle)</t>
        </is>
      </c>
      <c r="B10" s="2" t="n">
        <v>46023</v>
      </c>
      <c r="D10" s="3" t="inlineStr">
        <is>
          <t>Result</t>
        </is>
      </c>
      <c r="E10">
        <f>IF($E$8&gt;=0,"POSITIVE","NEGATIVE")</f>
        <v/>
      </c>
    </row>
    <row r="11">
      <c r="A11" s="3" t="inlineStr">
        <is>
          <t>Authorized user AF (total, USD)</t>
        </is>
      </c>
      <c r="B11" s="4" t="n">
        <v>0</v>
      </c>
      <c r="D11" s="3" t="inlineStr">
        <is>
          <t>AF breakeven gap</t>
        </is>
      </c>
      <c r="E11" s="4">
        <f>MAX(0,-$E$8)</f>
        <v/>
      </c>
    </row>
    <row r="12">
      <c r="A12" s="3" t="inlineStr">
        <is>
          <t>Total AF charged (this cycle)</t>
        </is>
      </c>
      <c r="B12" s="4">
        <f>IF($B$9="y",0,$B$8)+$B$11</f>
        <v/>
      </c>
      <c r="D12" s="3" t="inlineStr">
        <is>
          <t>Credit utilization %</t>
        </is>
      </c>
      <c r="E12" s="6">
        <f>IF($E$5=0,"",$E$4/$E$5)</f>
        <v/>
      </c>
    </row>
    <row r="13">
      <c r="A13" s="3" t="inlineStr">
        <is>
          <t>Next AF date (projected)</t>
        </is>
      </c>
      <c r="B13" s="2">
        <f>EDATE($B$10,12)</f>
        <v/>
      </c>
      <c r="D13" s="3" t="inlineStr">
        <is>
          <t>Credits at risk (unused, &lt;=30 days left)</t>
        </is>
      </c>
      <c r="E13">
        <f>SUMPRODUCT(($Y$21:$Y$22&gt;=0)*($Y$21:$Y$22&lt;=30))+SUMPRODUCT(($Y$27:$Y$30&gt;=0)*($Y$27:$Y$30&lt;=30))+SUMPRODUCT(($Y$35:$Y$35&gt;=0)*($Y$35:$Y$35&lt;=30))</f>
        <v/>
      </c>
    </row>
    <row r="14">
      <c r="A14" s="3" t="inlineStr">
        <is>
          <t>Cardmember year start (current cycle)</t>
        </is>
      </c>
      <c r="B14" s="2">
        <f>IFERROR(EDATE($B$10,12*DATEDIF($B$10,TODAY(),"y")),"")</f>
        <v/>
      </c>
      <c r="D14" s="3" t="inlineStr">
        <is>
          <t>Nearest expiry (days)</t>
        </is>
      </c>
      <c r="E14">
        <f>IF($H$3&gt;=9999,"",$H$3)</f>
        <v/>
      </c>
    </row>
    <row r="15">
      <c r="D15" s="3" t="inlineStr">
        <is>
          <t>Amounts you entered (cells)</t>
        </is>
      </c>
      <c r="E15">
        <f>COUNT(L21:W22)+COUNT(L27:W30)+COUNT(L35:W35)+COUNTIF($I$40:$I$40,"&gt;0")</f>
        <v/>
      </c>
    </row>
    <row r="16">
      <c r="D16" s="3" t="inlineStr">
        <is>
          <t>Entered total before capping</t>
        </is>
      </c>
      <c r="E16" s="4">
        <f>SUM(L21:W22)+SUM(L27:W30)+SUM(L35:W35)+SUM($J$40:$J$40)</f>
        <v/>
      </c>
    </row>
    <row r="17">
      <c r="A17" s="13" t="inlineStr">
        <is>
          <t>WHERE TO TYPE: put the amount you used into the month column of that row. SC rows are real statement credits and drive your net benefit. EST rows are values you set yourself (baggage fees saved) and only count in the 'incl. estimated' totals. 'Amounts you entered' above counts how many month cells you have filled in.</t>
        </is>
      </c>
    </row>
    <row r="18"/>
    <row r="19" ht="20" customHeight="1">
      <c r="A19" s="14" t="inlineStr">
        <is>
          <t>SECTION 1 · STATEMENT CREDITS (SC) · real money on your statement. NET BENEFIT COMES FROM HERE. Type the amount you used into the month column.</t>
        </is>
      </c>
    </row>
    <row r="20">
      <c r="A20" s="7" t="inlineStr">
        <is>
          <t>Benefit</t>
        </is>
      </c>
      <c r="B20" s="7" t="inlineStr">
        <is>
          <t>Basis</t>
        </is>
      </c>
      <c r="C20" s="7" t="inlineStr">
        <is>
          <t>Cycle</t>
        </is>
      </c>
      <c r="D20" s="7" t="inlineStr">
        <is>
          <t>Value/cycle</t>
        </is>
      </c>
      <c r="E20" s="7" t="inlineStr">
        <is>
          <t>Cyc/yr</t>
        </is>
      </c>
      <c r="F20" s="7" t="inlineStr">
        <is>
          <t>Max annual</t>
        </is>
      </c>
      <c r="G20" s="7" t="inlineStr">
        <is>
          <t>Used</t>
        </is>
      </c>
      <c r="H20" s="7" t="inlineStr">
        <is>
          <t>Remaining</t>
        </is>
      </c>
      <c r="I20" s="7" t="inlineStr">
        <is>
          <t>Uses</t>
        </is>
      </c>
      <c r="J20" s="7" t="inlineStr">
        <is>
          <t>Cycle end</t>
        </is>
      </c>
      <c r="K20" s="7" t="inlineStr">
        <is>
          <t>Days left</t>
        </is>
      </c>
      <c r="L20" s="7">
        <f>INDEX('Ref'!$J$3:$J$14,COLUMN()-11)</f>
        <v/>
      </c>
      <c r="M20" s="7">
        <f>INDEX('Ref'!$J$3:$J$14,COLUMN()-11)</f>
        <v/>
      </c>
      <c r="N20" s="7">
        <f>INDEX('Ref'!$J$3:$J$14,COLUMN()-11)</f>
        <v/>
      </c>
      <c r="O20" s="7">
        <f>INDEX('Ref'!$J$3:$J$14,COLUMN()-11)</f>
        <v/>
      </c>
      <c r="P20" s="7">
        <f>INDEX('Ref'!$J$3:$J$14,COLUMN()-11)</f>
        <v/>
      </c>
      <c r="Q20" s="7">
        <f>INDEX('Ref'!$J$3:$J$14,COLUMN()-11)</f>
        <v/>
      </c>
      <c r="R20" s="7">
        <f>INDEX('Ref'!$J$3:$J$14,COLUMN()-11)</f>
        <v/>
      </c>
      <c r="S20" s="7">
        <f>INDEX('Ref'!$J$3:$J$14,COLUMN()-11)</f>
        <v/>
      </c>
      <c r="T20" s="7">
        <f>INDEX('Ref'!$J$3:$J$14,COLUMN()-11)</f>
        <v/>
      </c>
      <c r="U20" s="7">
        <f>INDEX('Ref'!$J$3:$J$14,COLUMN()-11)</f>
        <v/>
      </c>
      <c r="V20" s="7">
        <f>INDEX('Ref'!$J$3:$J$14,COLUMN()-11)</f>
        <v/>
      </c>
      <c r="W20" s="7">
        <f>INDEX('Ref'!$J$3:$J$14,COLUMN()-11)</f>
        <v/>
      </c>
      <c r="Z20" s="15" t="inlineStr">
        <is>
          <t>Notes / source</t>
        </is>
      </c>
    </row>
    <row r="21">
      <c r="A21" t="inlineStr">
        <is>
          <t>Rideshare credit</t>
        </is>
      </c>
      <c r="B21" t="inlineStr">
        <is>
          <t>SC</t>
        </is>
      </c>
      <c r="C21" t="inlineStr">
        <is>
          <t>MONTHLY</t>
        </is>
      </c>
      <c r="D21" s="4" t="n">
        <v>8</v>
      </c>
      <c r="E21">
        <f>IF($C21="MONTHLY",12,IF($C21="QUARTERLY",4,IF($C21="SEMI-ANNUAL",2,IF($C21="CALENDAR-YEAR",1,""))))</f>
        <v/>
      </c>
      <c r="F21" s="4">
        <f>IF(OR($D21="",$E21=""),"",$D21*$E21)</f>
        <v/>
      </c>
      <c r="G21" s="4">
        <f>IF($D21="","",IF(ISNUMBER($F21),MIN($X21,$F21),$X21))</f>
        <v/>
      </c>
      <c r="H21" s="4">
        <f>IF($F21="","",MAX(0,$F21-$G21))</f>
        <v/>
      </c>
      <c r="I21">
        <f>SUMPRODUCT(ISNUMBER($L21:$W21)*($L21:$W21&gt;0))</f>
        <v/>
      </c>
      <c r="J21">
        <f>IF($C21="MONTHLY",EOMONTH(TODAY(),0),IF($C21="QUARTERLY",EOMONTH(DATE('Ref'!$B$1,ROUNDUP(MONTH(TODAY())/3,0)*3,1),0),IF($C21="SEMI-ANNUAL",IF(MONTH(TODAY())&lt;=6,DATE('Ref'!$B$1,6,30),DATE('Ref'!$B$1,12,31)),DATE('Ref'!$B$1,12,31))))</f>
        <v/>
      </c>
      <c r="K21">
        <f>IFERROR($J21-TODAY(),"")</f>
        <v/>
      </c>
      <c r="X21">
        <f>IF($D21="",SUM($L21:$W21),SUM($L21:$W21)-SUMIF($L21:$W21,"&gt;"&amp;$D21)+(COUNT($L21:$W21)-COUNTIF($L21:$W21,"&lt;="&amp;$D21))*$D21)</f>
        <v/>
      </c>
      <c r="Y21">
        <f>IF(AND(ISNUMBER($H21),$H21&gt;0,ISNUMBER($K21),$K21&gt;=0),$K21,9999)</f>
        <v/>
      </c>
      <c r="Z21" t="inlineStr">
        <is>
          <t>OFFICIAL (Chase.com): up to $100 per calendar year - $8 back each month Jan-Nov and up to $12 in December. Enrollment required. December is worth more, so type 12 there if you use it</t>
        </is>
      </c>
    </row>
    <row r="22">
      <c r="A22" t="inlineStr">
        <is>
          <t>Instacart credits</t>
        </is>
      </c>
      <c r="B22" t="inlineStr">
        <is>
          <t>SC</t>
        </is>
      </c>
      <c r="C22" t="inlineStr">
        <is>
          <t>MONTHLY</t>
        </is>
      </c>
      <c r="D22" s="4" t="n">
        <v>15</v>
      </c>
      <c r="E22">
        <f>IF($C22="MONTHLY",12,IF($C22="QUARTERLY",4,IF($C22="SEMI-ANNUAL",2,IF($C22="CALENDAR-YEAR",1,""))))</f>
        <v/>
      </c>
      <c r="F22" s="4">
        <f>IF(OR($D22="",$E22=""),"",$D22*$E22)</f>
        <v/>
      </c>
      <c r="G22" s="4">
        <f>IF($D22="","",IF(ISNUMBER($F22),MIN($X22,$F22),$X22))</f>
        <v/>
      </c>
      <c r="H22" s="4">
        <f>IF($F22="","",MAX(0,$F22-$G22))</f>
        <v/>
      </c>
      <c r="I22">
        <f>SUMPRODUCT(ISNUMBER($L22:$W22)*($L22:$W22&gt;0))</f>
        <v/>
      </c>
      <c r="J22">
        <f>IF($C22="MONTHLY",EOMONTH(TODAY(),0),IF($C22="QUARTERLY",EOMONTH(DATE('Ref'!$B$1,ROUNDUP(MONTH(TODAY())/3,0)*3,1),0),IF($C22="SEMI-ANNUAL",IF(MONTH(TODAY())&lt;=6,DATE('Ref'!$B$1,6,30),DATE('Ref'!$B$1,12,31)),DATE('Ref'!$B$1,12,31))))</f>
        <v/>
      </c>
      <c r="K22">
        <f>IFERROR($J22-TODAY(),"")</f>
        <v/>
      </c>
      <c r="X22">
        <f>IF($D22="",SUM($L22:$W22),SUM($L22:$W22)-SUMIF($L22:$W22,"&gt;"&amp;$D22)+(COUNT($L22:$W22)-COUNTIF($L22:$W22,"&lt;="&amp;$D22))*$D22)</f>
        <v/>
      </c>
      <c r="Y22">
        <f>IF(AND(ISNUMBER($H22),$H22&gt;0,ISNUMBER($K22),$K22&gt;=0),$K22,9999)</f>
        <v/>
      </c>
      <c r="Z22" t="inlineStr">
        <is>
          <t>OFFICIAL (Chase.com): one $10 plus one $5 Instacart credit each month, up to $180 per calendar year. Benefits end 12/31/2027</t>
        </is>
      </c>
    </row>
    <row r="23">
      <c r="A23" s="9" t="inlineStr">
        <is>
          <t>Subtotal - Section 1</t>
        </is>
      </c>
      <c r="F23" s="10">
        <f>SUM($F$21:$F$22)</f>
        <v/>
      </c>
      <c r="G23" s="10">
        <f>SUM($G$21:$G$22)</f>
        <v/>
      </c>
      <c r="H23" s="10">
        <f>SUM($H$21:$H$22)</f>
        <v/>
      </c>
      <c r="I23" s="10">
        <f>SUM($I$21:$I$22)</f>
        <v/>
      </c>
    </row>
    <row r="24"/>
    <row r="25" ht="20" customHeight="1">
      <c r="A25" s="14" t="inlineStr">
        <is>
          <t>SECTION 1b · STATEMENT CREDITS (SC) THAT RESET ON YOUR CARD ANNIVERSARY · the month columns follow YOUR anniversary month, not January. NET BENEFIT COMES FROM HERE.</t>
        </is>
      </c>
    </row>
    <row r="26">
      <c r="A26" s="7" t="inlineStr">
        <is>
          <t>Benefit</t>
        </is>
      </c>
      <c r="B26" s="7" t="inlineStr">
        <is>
          <t>Basis</t>
        </is>
      </c>
      <c r="C26" s="7" t="inlineStr">
        <is>
          <t>Cycle</t>
        </is>
      </c>
      <c r="D26" s="7" t="inlineStr">
        <is>
          <t>Value/cycle</t>
        </is>
      </c>
      <c r="E26" s="7" t="inlineStr">
        <is>
          <t>Cyc/yr</t>
        </is>
      </c>
      <c r="F26" s="7" t="inlineStr">
        <is>
          <t>Max annual</t>
        </is>
      </c>
      <c r="G26" s="7" t="inlineStr">
        <is>
          <t>Used</t>
        </is>
      </c>
      <c r="H26" s="7" t="inlineStr">
        <is>
          <t>Remaining</t>
        </is>
      </c>
      <c r="I26" s="7" t="inlineStr">
        <is>
          <t>Uses</t>
        </is>
      </c>
      <c r="J26" s="7" t="inlineStr">
        <is>
          <t>Cycle end</t>
        </is>
      </c>
      <c r="K26" s="7" t="inlineStr">
        <is>
          <t>Days left</t>
        </is>
      </c>
      <c r="L26" s="7">
        <f>IFERROR(INDEX('Ref'!$J$3:$J$14,MONTH(EDATE($B$14,0)))&amp;"-"&amp;TEXT(EDATE($B$14,0),"yy"),"")</f>
        <v/>
      </c>
      <c r="M26" s="7">
        <f>IFERROR(INDEX('Ref'!$J$3:$J$14,MONTH(EDATE($B$14,1)))&amp;"-"&amp;TEXT(EDATE($B$14,1),"yy"),"")</f>
        <v/>
      </c>
      <c r="N26" s="7">
        <f>IFERROR(INDEX('Ref'!$J$3:$J$14,MONTH(EDATE($B$14,2)))&amp;"-"&amp;TEXT(EDATE($B$14,2),"yy"),"")</f>
        <v/>
      </c>
      <c r="O26" s="7">
        <f>IFERROR(INDEX('Ref'!$J$3:$J$14,MONTH(EDATE($B$14,3)))&amp;"-"&amp;TEXT(EDATE($B$14,3),"yy"),"")</f>
        <v/>
      </c>
      <c r="P26" s="7">
        <f>IFERROR(INDEX('Ref'!$J$3:$J$14,MONTH(EDATE($B$14,4)))&amp;"-"&amp;TEXT(EDATE($B$14,4),"yy"),"")</f>
        <v/>
      </c>
      <c r="Q26" s="7">
        <f>IFERROR(INDEX('Ref'!$J$3:$J$14,MONTH(EDATE($B$14,5)))&amp;"-"&amp;TEXT(EDATE($B$14,5),"yy"),"")</f>
        <v/>
      </c>
      <c r="R26" s="7">
        <f>IFERROR(INDEX('Ref'!$J$3:$J$14,MONTH(EDATE($B$14,6)))&amp;"-"&amp;TEXT(EDATE($B$14,6),"yy"),"")</f>
        <v/>
      </c>
      <c r="S26" s="7">
        <f>IFERROR(INDEX('Ref'!$J$3:$J$14,MONTH(EDATE($B$14,7)))&amp;"-"&amp;TEXT(EDATE($B$14,7),"yy"),"")</f>
        <v/>
      </c>
      <c r="T26" s="7">
        <f>IFERROR(INDEX('Ref'!$J$3:$J$14,MONTH(EDATE($B$14,8)))&amp;"-"&amp;TEXT(EDATE($B$14,8),"yy"),"")</f>
        <v/>
      </c>
      <c r="U26" s="7">
        <f>IFERROR(INDEX('Ref'!$J$3:$J$14,MONTH(EDATE($B$14,9)))&amp;"-"&amp;TEXT(EDATE($B$14,9),"yy"),"")</f>
        <v/>
      </c>
      <c r="V26" s="7">
        <f>IFERROR(INDEX('Ref'!$J$3:$J$14,MONTH(EDATE($B$14,10)))&amp;"-"&amp;TEXT(EDATE($B$14,10),"yy"),"")</f>
        <v/>
      </c>
      <c r="W26" s="7">
        <f>IFERROR(INDEX('Ref'!$J$3:$J$14,MONTH(EDATE($B$14,11)))&amp;"-"&amp;TEXT(EDATE($B$14,11),"yy"),"")</f>
        <v/>
      </c>
      <c r="Z26" s="15" t="inlineStr">
        <is>
          <t>Notes / source</t>
        </is>
      </c>
    </row>
    <row r="27">
      <c r="A27" t="inlineStr">
        <is>
          <t>United TravelBank credit</t>
        </is>
      </c>
      <c r="B27" t="inlineStr">
        <is>
          <t>SC</t>
        </is>
      </c>
      <c r="C27" t="inlineStr">
        <is>
          <t>CARDMEMBER-YEAR</t>
        </is>
      </c>
      <c r="D27" s="4" t="n">
        <v>200</v>
      </c>
      <c r="E27" t="n">
        <v>1</v>
      </c>
      <c r="F27" s="4">
        <f>IF($D27="","",$D27)</f>
        <v/>
      </c>
      <c r="G27" s="4">
        <f>IF($D27="","",IF(ISNUMBER($F27),MIN($X27,$F27),$X27))</f>
        <v/>
      </c>
      <c r="H27" s="4">
        <f>IF($F27="","",MAX(0,$F27-$G27))</f>
        <v/>
      </c>
      <c r="I27">
        <f>SUMPRODUCT(ISNUMBER($L27:$W27)*($L27:$W27&gt;0))</f>
        <v/>
      </c>
      <c r="J27">
        <f>IFERROR(EDATE($B$14,12)-1,"")</f>
        <v/>
      </c>
      <c r="K27">
        <f>IFERROR($J27-TODAY(),"")</f>
        <v/>
      </c>
      <c r="X27">
        <f>IF($D27="",SUM($L27:$W27),SUM($L27:$W27)-SUMIF($L27:$W27,"&gt;"&amp;$D27)+(COUNT($L27:$W27)-COUNTIF($L27:$W27,"&lt;="&amp;$D27))*$D27)</f>
        <v/>
      </c>
      <c r="Y27">
        <f>IF(AND(ISNUMBER($H27),$H27&gt;0,ISNUMBER($K27),$K27&gt;=0),$K27,9999)</f>
        <v/>
      </c>
      <c r="Z27" t="inlineStr">
        <is>
          <t>OFFICIAL (Chase.com full-terms page): '$200 Annual United Travel Credit: One $200 annual United TravelBank cash credit will automatically be added to your MileagePlus account. Annual means the year beginning with your account open date through the first statement date after your account open anniversary...' Deposited within 4 weeks of the anniversary. Must be used for a United or United Express flight; expires 12 months after issue and cannot be combined with miles or travel certificates</t>
        </is>
      </c>
    </row>
    <row r="28">
      <c r="A28" t="inlineStr">
        <is>
          <t>Renowned Hotels and Resorts credit</t>
        </is>
      </c>
      <c r="B28" t="inlineStr">
        <is>
          <t>SC</t>
        </is>
      </c>
      <c r="C28" t="inlineStr">
        <is>
          <t>CARDMEMBER-YEAR</t>
        </is>
      </c>
      <c r="D28" s="4" t="n">
        <v>150</v>
      </c>
      <c r="E28" t="n">
        <v>1</v>
      </c>
      <c r="F28" s="4">
        <f>IF($D28="","",$D28)</f>
        <v/>
      </c>
      <c r="G28" s="4">
        <f>IF($D28="","",IF(ISNUMBER($F28),MIN($X28,$F28),$X28))</f>
        <v/>
      </c>
      <c r="H28" s="4">
        <f>IF($F28="","",MAX(0,$F28-$G28))</f>
        <v/>
      </c>
      <c r="I28">
        <f>SUMPRODUCT(ISNUMBER($L28:$W28)*($L28:$W28&gt;0))</f>
        <v/>
      </c>
      <c r="J28">
        <f>IFERROR(EDATE($B$14,12)-1,"")</f>
        <v/>
      </c>
      <c r="K28">
        <f>IFERROR($J28-TODAY(),"")</f>
        <v/>
      </c>
      <c r="X28">
        <f>IF($D28="",SUM($L28:$W28),SUM($L28:$W28)-SUMIF($L28:$W28,"&gt;"&amp;$D28)+(COUNT($L28:$W28)-COUNTIF($L28:$W28,"&lt;="&amp;$D28))*$D28)</f>
        <v/>
      </c>
      <c r="Y28">
        <f>IF(AND(ISNUMBER($H28),$H28&gt;0,ISNUMBER($K28),$K28&gt;=0),$K28,9999)</f>
        <v/>
      </c>
      <c r="Z28" t="inlineStr">
        <is>
          <t>OFFICIAL (Chase.com): up to $150 back each anniversary year on prepaid hotel accommodation booked directly through Renowned Hotels and Resorts</t>
        </is>
      </c>
    </row>
    <row r="29">
      <c r="A29" t="inlineStr">
        <is>
          <t>JSX credit</t>
        </is>
      </c>
      <c r="B29" t="inlineStr">
        <is>
          <t>SC</t>
        </is>
      </c>
      <c r="C29" t="inlineStr">
        <is>
          <t>CARDMEMBER-YEAR</t>
        </is>
      </c>
      <c r="D29" s="4" t="n">
        <v>150</v>
      </c>
      <c r="E29" t="n">
        <v>1</v>
      </c>
      <c r="F29" s="4">
        <f>IF($D29="","",$D29)</f>
        <v/>
      </c>
      <c r="G29" s="4">
        <f>IF($D29="","",IF(ISNUMBER($F29),MIN($X29,$F29),$X29))</f>
        <v/>
      </c>
      <c r="H29" s="4">
        <f>IF($F29="","",MAX(0,$F29-$G29))</f>
        <v/>
      </c>
      <c r="I29">
        <f>SUMPRODUCT(ISNUMBER($L29:$W29)*($L29:$W29&gt;0))</f>
        <v/>
      </c>
      <c r="J29">
        <f>IFERROR(EDATE($B$14,12)-1,"")</f>
        <v/>
      </c>
      <c r="K29">
        <f>IFERROR($J29-TODAY(),"")</f>
        <v/>
      </c>
      <c r="X29">
        <f>IF($D29="",SUM($L29:$W29),SUM($L29:$W29)-SUMIF($L29:$W29,"&gt;"&amp;$D29)+(COUNT($L29:$W29)-COUNTIF($L29:$W29,"&lt;="&amp;$D29))*$D29)</f>
        <v/>
      </c>
      <c r="Y29">
        <f>IF(AND(ISNUMBER($H29),$H29&gt;0,ISNUMBER($K29),$K29&gt;=0),$K29,9999)</f>
        <v/>
      </c>
      <c r="Z29" t="inlineStr">
        <is>
          <t>OFFICIAL (Chase.com): up to $150 back each anniversary year when you book flights directly with JSX</t>
        </is>
      </c>
    </row>
    <row r="30">
      <c r="A30" t="inlineStr">
        <is>
          <t>Avis/Budget TravelBank cash</t>
        </is>
      </c>
      <c r="B30" t="inlineStr">
        <is>
          <t>SC</t>
        </is>
      </c>
      <c r="C30" t="inlineStr">
        <is>
          <t>CARDMEMBER-YEAR</t>
        </is>
      </c>
      <c r="D30" s="4" t="n">
        <v>80</v>
      </c>
      <c r="E30" t="n">
        <v>1</v>
      </c>
      <c r="F30" s="4">
        <f>IF($D30="","",$D30)</f>
        <v/>
      </c>
      <c r="G30" s="4">
        <f>IF($D30="","",IF(ISNUMBER($F30),MIN($X30,$F30),$X30))</f>
        <v/>
      </c>
      <c r="H30" s="4">
        <f>IF($F30="","",MAX(0,$F30-$G30))</f>
        <v/>
      </c>
      <c r="I30">
        <f>SUMPRODUCT(ISNUMBER($L30:$W30)*($L30:$W30&gt;0))</f>
        <v/>
      </c>
      <c r="J30">
        <f>IFERROR(EDATE($B$14,12)-1,"")</f>
        <v/>
      </c>
      <c r="K30">
        <f>IFERROR($J30-TODAY(),"")</f>
        <v/>
      </c>
      <c r="X30">
        <f>IF($D30="",SUM($L30:$W30),SUM($L30:$W30)-SUMIF($L30:$W30,"&gt;"&amp;$D30)+(COUNT($L30:$W30)-COUNTIF($L30:$W30,"&lt;="&amp;$D30))*$D30)</f>
        <v/>
      </c>
      <c r="Y30">
        <f>IF(AND(ISNUMBER($H30),$H30&gt;0,ISNUMBER($K30),$K30&gt;=0),$K30,9999)</f>
        <v/>
      </c>
      <c r="Z30" t="inlineStr">
        <is>
          <t>OFFICIAL (Chase.com): $40 in United TravelBank cash for your 1st and 2nd Avis or Budget rental booked via cars.united.com, up to $80 each anniversary year</t>
        </is>
      </c>
    </row>
    <row r="31">
      <c r="A31" s="9" t="inlineStr">
        <is>
          <t>Subtotal - Section 1b</t>
        </is>
      </c>
      <c r="F31" s="10">
        <f>SUM($F$27:$F$30)</f>
        <v/>
      </c>
      <c r="G31" s="10">
        <f>SUM($G$27:$G$30)</f>
        <v/>
      </c>
      <c r="H31" s="10">
        <f>SUM($H$27:$H$30)</f>
        <v/>
      </c>
      <c r="I31" s="10">
        <f>SUM($I$27:$I$30)</f>
        <v/>
      </c>
    </row>
    <row r="32"/>
    <row r="33" ht="20" customHeight="1">
      <c r="A33" s="16" t="inlineStr">
        <is>
          <t>SECTION 2 · ESTIMATED SAVINGS (EST) · Counts only in the 'incl. estimated' totals.</t>
        </is>
      </c>
    </row>
    <row r="34">
      <c r="A34" s="7" t="inlineStr">
        <is>
          <t>Benefit</t>
        </is>
      </c>
      <c r="B34" s="7" t="inlineStr">
        <is>
          <t>Basis</t>
        </is>
      </c>
      <c r="C34" s="7" t="inlineStr">
        <is>
          <t>Cycle</t>
        </is>
      </c>
      <c r="D34" s="7" t="inlineStr">
        <is>
          <t>Value/cycle</t>
        </is>
      </c>
      <c r="E34" s="7" t="inlineStr">
        <is>
          <t>Cyc/yr</t>
        </is>
      </c>
      <c r="F34" s="7" t="inlineStr">
        <is>
          <t>Max annual</t>
        </is>
      </c>
      <c r="G34" s="7" t="inlineStr">
        <is>
          <t>Used</t>
        </is>
      </c>
      <c r="H34" s="7" t="inlineStr">
        <is>
          <t>Remaining</t>
        </is>
      </c>
      <c r="I34" s="7" t="inlineStr">
        <is>
          <t>Uses</t>
        </is>
      </c>
      <c r="J34" s="7" t="inlineStr">
        <is>
          <t>Cycle end</t>
        </is>
      </c>
      <c r="K34" s="7" t="inlineStr">
        <is>
          <t>Days left</t>
        </is>
      </c>
      <c r="L34" s="7">
        <f>INDEX('Ref'!$J$3:$J$14,COLUMN()-11)</f>
        <v/>
      </c>
      <c r="M34" s="7">
        <f>INDEX('Ref'!$J$3:$J$14,COLUMN()-11)</f>
        <v/>
      </c>
      <c r="N34" s="7">
        <f>INDEX('Ref'!$J$3:$J$14,COLUMN()-11)</f>
        <v/>
      </c>
      <c r="O34" s="7">
        <f>INDEX('Ref'!$J$3:$J$14,COLUMN()-11)</f>
        <v/>
      </c>
      <c r="P34" s="7">
        <f>INDEX('Ref'!$J$3:$J$14,COLUMN()-11)</f>
        <v/>
      </c>
      <c r="Q34" s="7">
        <f>INDEX('Ref'!$J$3:$J$14,COLUMN()-11)</f>
        <v/>
      </c>
      <c r="R34" s="7">
        <f>INDEX('Ref'!$J$3:$J$14,COLUMN()-11)</f>
        <v/>
      </c>
      <c r="S34" s="7">
        <f>INDEX('Ref'!$J$3:$J$14,COLUMN()-11)</f>
        <v/>
      </c>
      <c r="T34" s="7">
        <f>INDEX('Ref'!$J$3:$J$14,COLUMN()-11)</f>
        <v/>
      </c>
      <c r="U34" s="7">
        <f>INDEX('Ref'!$J$3:$J$14,COLUMN()-11)</f>
        <v/>
      </c>
      <c r="V34" s="7">
        <f>INDEX('Ref'!$J$3:$J$14,COLUMN()-11)</f>
        <v/>
      </c>
      <c r="W34" s="7">
        <f>INDEX('Ref'!$J$3:$J$14,COLUMN()-11)</f>
        <v/>
      </c>
      <c r="Z34" s="15" t="inlineStr">
        <is>
          <t>Notes / source</t>
        </is>
      </c>
    </row>
    <row r="35">
      <c r="A35" t="inlineStr">
        <is>
          <t>Free checked bag</t>
        </is>
      </c>
      <c r="B35" t="inlineStr">
        <is>
          <t>EST</t>
        </is>
      </c>
      <c r="C35" t="inlineStr">
        <is>
          <t>CALENDAR-YEAR</t>
        </is>
      </c>
      <c r="D35" s="4" t="n">
        <v>220</v>
      </c>
      <c r="E35">
        <f>IF($C35="MONTHLY",12,IF($C35="QUARTERLY",4,IF($C35="SEMI-ANNUAL",2,IF($C35="CALENDAR-YEAR",1,""))))</f>
        <v/>
      </c>
      <c r="F35" s="4">
        <f>IF(OR($D35="",$E35=""),"",$D35*$E35)</f>
        <v/>
      </c>
      <c r="G35" s="4">
        <f>IF($D35="","",IF(ISNUMBER($F35),MIN($X35,$F35),$X35))</f>
        <v/>
      </c>
      <c r="H35" s="4">
        <f>IF($F35="","",MAX(0,$F35-$G35))</f>
        <v/>
      </c>
      <c r="I35">
        <f>SUMPRODUCT(ISNUMBER($L35:$W35)*($L35:$W35&gt;0))</f>
        <v/>
      </c>
      <c r="J35">
        <f>IF($C35="MONTHLY",EOMONTH(TODAY(),0),IF($C35="QUARTERLY",EOMONTH(DATE('Ref'!$B$1,ROUNDUP(MONTH(TODAY())/3,0)*3,1),0),IF($C35="SEMI-ANNUAL",IF(MONTH(TODAY())&lt;=6,DATE('Ref'!$B$1,6,30),DATE('Ref'!$B$1,12,31)),DATE('Ref'!$B$1,12,31))))</f>
        <v/>
      </c>
      <c r="K35">
        <f>IFERROR($J35-TODAY(),"")</f>
        <v/>
      </c>
      <c r="X35">
        <f>IF($D35="",SUM($L35:$W35),SUM($L35:$W35)-SUMIF($L35:$W35,"&gt;"&amp;$D35)+(COUNT($L35:$W35)-COUNTIF($L35:$W35,"&lt;="&amp;$D35))*$D35)</f>
        <v/>
      </c>
      <c r="Y35">
        <f>IF(AND(ISNUMBER($H35),$H35&gt;0,ISNUMBER($K35),$K35&gt;=0),$K35,9999)</f>
        <v/>
      </c>
      <c r="Z35" t="inlineStr">
        <is>
          <t>OFFICIAL (Chase.com): the primary cardholder and one companion on the same reservation each get their 1st and 2nd checked bags free on United-operated flights - up to $50 for the first bag and $60 for the second, each way. D = your expected annual saving (220 = one roundtrip, two people, two bags each). Type each trip's saving into that month; capped at D. Ticket must be bought with the card</t>
        </is>
      </c>
    </row>
    <row r="36">
      <c r="A36" s="9" t="inlineStr">
        <is>
          <t>Subtotal - Section 2</t>
        </is>
      </c>
      <c r="F36" s="10">
        <f>SUM($F$35:$F$35)</f>
        <v/>
      </c>
      <c r="G36" s="10">
        <f>SUM($G$35:$G$35)</f>
        <v/>
      </c>
      <c r="H36" s="10">
        <f>SUM($H$35:$H$35)</f>
        <v/>
      </c>
      <c r="I36" s="10">
        <f>SUM($I$35:$I$35)</f>
        <v/>
      </c>
    </row>
    <row r="37"/>
    <row r="38" ht="20" customHeight="1">
      <c r="A38" s="17" t="inlineStr">
        <is>
          <t>SECTION 4 · ONE-TIME / EVERY-N-YEARS ITEMS (SC) · no month grid - enter the amount in the 'Used?' column.</t>
        </is>
      </c>
    </row>
    <row r="39">
      <c r="A39" s="7" t="inlineStr">
        <is>
          <t>Benefit</t>
        </is>
      </c>
      <c r="B39" s="7" t="inlineStr">
        <is>
          <t>Basis</t>
        </is>
      </c>
      <c r="C39" s="7" t="inlineStr">
        <is>
          <t>Cycle</t>
        </is>
      </c>
      <c r="D39" s="7" t="inlineStr">
        <is>
          <t>Value</t>
        </is>
      </c>
      <c r="E39" s="7" t="inlineStr">
        <is>
          <t>Yrs/cycle</t>
        </is>
      </c>
      <c r="F39" s="7" t="inlineStr">
        <is>
          <t>Annualized</t>
        </is>
      </c>
      <c r="G39" s="7" t="inlineStr">
        <is>
          <t>Date used</t>
        </is>
      </c>
      <c r="H39" s="7" t="inlineStr">
        <is>
          <t>Expiry / next eligible</t>
        </is>
      </c>
      <c r="I39" s="7" t="inlineStr">
        <is>
          <t>Used? (amount or y)</t>
        </is>
      </c>
      <c r="J39" s="7" t="inlineStr">
        <is>
          <t>Value captured</t>
        </is>
      </c>
      <c r="K39" s="7" t="inlineStr">
        <is>
          <t>Notes</t>
        </is>
      </c>
    </row>
    <row r="40">
      <c r="A40" t="inlineStr">
        <is>
          <t>Global Entry / TSA PreCheck / NEXUS credit</t>
        </is>
      </c>
      <c r="B40" t="inlineStr">
        <is>
          <t>SC</t>
        </is>
      </c>
      <c r="C40" t="inlineStr">
        <is>
          <t>MULTI-YEAR</t>
        </is>
      </c>
      <c r="D40" s="4" t="n">
        <v>120</v>
      </c>
      <c r="E40" t="n">
        <v>4</v>
      </c>
      <c r="F40" s="4">
        <f>IF(AND(ISNUMBER($D40),ISNUMBER($E40)),$D40/$E40,0)</f>
        <v/>
      </c>
      <c r="J40" s="4">
        <f>IF($I40="y",$D40,IF(ISNUMBER($I40),MIN($I40,$D40),0))</f>
        <v/>
      </c>
      <c r="K40" t="inlineStr">
        <is>
          <t>OFFICIAL (Chase.com): up to $120 every four years. Enter the amount in the 'Used?' column when you claim it</t>
        </is>
      </c>
    </row>
    <row r="41">
      <c r="A41" s="9" t="inlineStr">
        <is>
          <t>Subtotal - Section 4</t>
        </is>
      </c>
      <c r="D41" s="10">
        <f>SUM($D$40:$D$40)</f>
        <v/>
      </c>
      <c r="F41" s="10">
        <f>SUM($F$40:$F$40)</f>
        <v/>
      </c>
      <c r="J41" s="10">
        <f>SUM($J$40:$J$40)</f>
        <v/>
      </c>
    </row>
  </sheetData>
  <mergeCells count="5">
    <mergeCell ref="A19:Z19"/>
    <mergeCell ref="A38:Z38"/>
    <mergeCell ref="A25:Z25"/>
    <mergeCell ref="A17:K17"/>
    <mergeCell ref="A33:Z33"/>
  </mergeCells>
  <conditionalFormatting sqref="L21:W22">
    <cfRule type="expression" priority="1" dxfId="1" stopIfTrue="1">
      <formula>AND(L21&lt;&gt;"",NOT(ISNUMBER(L21)))</formula>
    </cfRule>
    <cfRule type="expression" priority="2" dxfId="6" stopIfTrue="1">
      <formula>AND(ISNUMBER(L21),$D21&gt;0,L21&gt;$D21)</formula>
    </cfRule>
    <cfRule type="expression" priority="3" dxfId="7" stopIfTrue="0">
      <formula>AND($C21="QUARTERLY",COUNTIF($L$21:$N$21,"&gt;0")&gt;1)</formula>
    </cfRule>
    <cfRule type="expression" priority="4" dxfId="7" stopIfTrue="0">
      <formula>AND($C21="QUARTERLY",COUNTIF($O$21:$Q$21,"&gt;0")&gt;1)</formula>
    </cfRule>
    <cfRule type="expression" priority="5" dxfId="7" stopIfTrue="0">
      <formula>AND($C21="QUARTERLY",COUNTIF($R$21:$T$21,"&gt;0")&gt;1)</formula>
    </cfRule>
    <cfRule type="expression" priority="6" dxfId="7" stopIfTrue="0">
      <formula>AND($C21="QUARTERLY",COUNTIF($U$21:$W$21,"&gt;0")&gt;1)</formula>
    </cfRule>
    <cfRule type="expression" priority="7" dxfId="7" stopIfTrue="0">
      <formula>AND($C21="SEMI-ANNUAL",COUNTIF($L$21:$Q$21,"&gt;0")&gt;1)</formula>
    </cfRule>
    <cfRule type="expression" priority="8" dxfId="7" stopIfTrue="0">
      <formula>AND($C21="SEMI-ANNUAL",COUNTIF($R$21:$W$21,"&gt;0")&gt;1)</formula>
    </cfRule>
    <cfRule type="expression" priority="9" dxfId="4" stopIfTrue="0">
      <formula>AND(ISNUMBER(L21),L21&gt;0)</formula>
    </cfRule>
  </conditionalFormatting>
  <conditionalFormatting sqref="L27:W30">
    <cfRule type="expression" priority="10" dxfId="1" stopIfTrue="1">
      <formula>AND(L27&lt;&gt;"",NOT(ISNUMBER(L27)))</formula>
    </cfRule>
    <cfRule type="expression" priority="11" dxfId="6" stopIfTrue="1">
      <formula>AND(ISNUMBER(L27),$D27&gt;0,L27&gt;$D27)</formula>
    </cfRule>
    <cfRule type="expression" priority="12" dxfId="7" stopIfTrue="0">
      <formula>AND($C27="QUARTERLY",COUNTIF($L$27:$N$27,"&gt;0")&gt;1)</formula>
    </cfRule>
    <cfRule type="expression" priority="13" dxfId="7" stopIfTrue="0">
      <formula>AND($C27="QUARTERLY",COUNTIF($O$27:$Q$27,"&gt;0")&gt;1)</formula>
    </cfRule>
    <cfRule type="expression" priority="14" dxfId="7" stopIfTrue="0">
      <formula>AND($C27="QUARTERLY",COUNTIF($R$27:$T$27,"&gt;0")&gt;1)</formula>
    </cfRule>
    <cfRule type="expression" priority="15" dxfId="7" stopIfTrue="0">
      <formula>AND($C27="QUARTERLY",COUNTIF($U$27:$W$27,"&gt;0")&gt;1)</formula>
    </cfRule>
    <cfRule type="expression" priority="16" dxfId="7" stopIfTrue="0">
      <formula>AND($C27="SEMI-ANNUAL",COUNTIF($L$27:$Q$27,"&gt;0")&gt;1)</formula>
    </cfRule>
    <cfRule type="expression" priority="17" dxfId="7" stopIfTrue="0">
      <formula>AND($C27="SEMI-ANNUAL",COUNTIF($R$27:$W$27,"&gt;0")&gt;1)</formula>
    </cfRule>
    <cfRule type="expression" priority="18" dxfId="4" stopIfTrue="0">
      <formula>AND(ISNUMBER(L27),L27&gt;0)</formula>
    </cfRule>
  </conditionalFormatting>
  <conditionalFormatting sqref="L35:W35">
    <cfRule type="expression" priority="19" dxfId="1" stopIfTrue="1">
      <formula>AND(L35&lt;&gt;"",NOT(ISNUMBER(L35)))</formula>
    </cfRule>
    <cfRule type="expression" priority="20" dxfId="6" stopIfTrue="1">
      <formula>AND(ISNUMBER(L35),$D35&gt;0,L35&gt;$D35)</formula>
    </cfRule>
    <cfRule type="expression" priority="21" dxfId="7" stopIfTrue="0">
      <formula>AND($C35="QUARTERLY",COUNTIF($L$35:$N$35,"&gt;0")&gt;1)</formula>
    </cfRule>
    <cfRule type="expression" priority="22" dxfId="7" stopIfTrue="0">
      <formula>AND($C35="QUARTERLY",COUNTIF($O$35:$Q$35,"&gt;0")&gt;1)</formula>
    </cfRule>
    <cfRule type="expression" priority="23" dxfId="7" stopIfTrue="0">
      <formula>AND($C35="QUARTERLY",COUNTIF($R$35:$T$35,"&gt;0")&gt;1)</formula>
    </cfRule>
    <cfRule type="expression" priority="24" dxfId="7" stopIfTrue="0">
      <formula>AND($C35="QUARTERLY",COUNTIF($U$35:$W$35,"&gt;0")&gt;1)</formula>
    </cfRule>
    <cfRule type="expression" priority="25" dxfId="7" stopIfTrue="0">
      <formula>AND($C35="SEMI-ANNUAL",COUNTIF($L$35:$Q$35,"&gt;0")&gt;1)</formula>
    </cfRule>
    <cfRule type="expression" priority="26" dxfId="7" stopIfTrue="0">
      <formula>AND($C35="SEMI-ANNUAL",COUNTIF($R$35:$W$35,"&gt;0")&gt;1)</formula>
    </cfRule>
    <cfRule type="expression" priority="27" dxfId="4" stopIfTrue="0">
      <formula>AND(ISNUMBER(L35),L35&gt;0)</formula>
    </cfRule>
  </conditionalFormatting>
  <conditionalFormatting sqref="A21:I22">
    <cfRule type="expression" priority="28" dxfId="3" stopIfTrue="0">
      <formula>AND($A21&lt;&gt;"",$C21="")</formula>
    </cfRule>
  </conditionalFormatting>
  <conditionalFormatting sqref="A27:I30">
    <cfRule type="expression" priority="29" dxfId="3" stopIfTrue="0">
      <formula>AND($A27&lt;&gt;"",$C27="")</formula>
    </cfRule>
  </conditionalFormatting>
  <conditionalFormatting sqref="A35:I35">
    <cfRule type="expression" priority="30" dxfId="3" stopIfTrue="0">
      <formula>AND($A35&lt;&gt;"",$C35="")</formula>
    </cfRule>
  </conditionalFormatting>
  <conditionalFormatting sqref="E10">
    <cfRule type="expression" priority="31" dxfId="0" stopIfTrue="0">
      <formula>$E$10="POSITIVE"</formula>
    </cfRule>
    <cfRule type="expression" priority="32" dxfId="1" stopIfTrue="0">
      <formula>$E$10="NEGATIVE"</formula>
    </cfRule>
  </conditionalFormatting>
  <dataValidations count="13">
    <dataValidation sqref="L21:W22 L27:W30 L35:W35" showDropDown="0" showInputMessage="0" showErrorMessage="1" allowBlank="1" errorTitle="Enter an amount" error="Type the dollar amount you used in this cycle (0 or more), or leave the cell blank. Anything above the credit amount is automatically capped at the credit amount." promptTitle="Amount used" prompt="Type the dollar amount used in this cycle. Blank = not used. Values above the credit amount are capped automatically." type="decimal" operator="greaterThanOrEqual">
      <formula1>0</formula1>
    </dataValidation>
    <dataValidation sqref="B21:B22" showDropDown="0" showInputMessage="0" showErrorMessage="1" allowBlank="1" errorTitle="Pick from the list" error="Allowed: SC, EST, ACCESS" type="list">
      <formula1>"SC,EST,ACCESS"</formula1>
    </dataValidation>
    <dataValidation sqref="B27:B30" showDropDown="0" showInputMessage="0" showErrorMessage="1" allowBlank="1" errorTitle="Pick from the list" error="Allowed: SC, EST, ACCESS" type="list">
      <formula1>"SC,EST,ACCESS"</formula1>
    </dataValidation>
    <dataValidation sqref="B35" showDropDown="0" showInputMessage="0" showErrorMessage="1" allowBlank="1" errorTitle="Pick from the list" error="Allowed: SC, EST, ACCESS" type="list">
      <formula1>"SC,EST,ACCESS"</formula1>
    </dataValidation>
    <dataValidation sqref="B40" showDropDown="0" showInputMessage="0" showErrorMessage="1" allowBlank="1" errorTitle="Pick from the list" error="Allowed: SC, EST, ACCESS" type="list">
      <formula1>"SC,EST,ACCESS"</formula1>
    </dataValidation>
    <dataValidation sqref="C21:C22" showDropDown="0" showInputMessage="0" showErrorMessage="1" allowBlank="1" errorTitle="Pick from the list" error="Allowed: MONTHLY, QUARTERLY, SEMI-ANNUAL, CALENDAR-YEAR" type="list">
      <formula1>"MONTHLY,QUARTERLY,SEMI-ANNUAL,CALENDAR-YEAR"</formula1>
    </dataValidation>
    <dataValidation sqref="C27:C30" showDropDown="0" showInputMessage="0" showErrorMessage="1" allowBlank="1" errorTitle="Pick from the list" error="Allowed: CARDMEMBER-YEAR" type="list">
      <formula1>"CARDMEMBER-YEAR"</formula1>
    </dataValidation>
    <dataValidation sqref="C35" showDropDown="0" showInputMessage="0" showErrorMessage="1" allowBlank="1" errorTitle="Pick from the list" error="Allowed: MONTHLY, QUARTERLY, SEMI-ANNUAL, CALENDAR-YEAR" type="list">
      <formula1>"MONTHLY,QUARTERLY,SEMI-ANNUAL,CALENDAR-YEAR"</formula1>
    </dataValidation>
    <dataValidation sqref="C40" showDropDown="0" showInputMessage="0" showErrorMessage="1" allowBlank="1" errorTitle="Pick from the list" error="Allowed: MULTI-YEAR, ONE-TIME" type="list">
      <formula1>"MULTI-YEAR,ONE-TIME"</formula1>
    </dataValidation>
    <dataValidation sqref="I40" showDropDown="0" showInputMessage="0" showErrorMessage="1" allowBlank="1" errorTitle="Pick from the list" error="Allowed: y" type="list">
      <formula1>"y"</formula1>
    </dataValidation>
    <dataValidation sqref="B9" showDropDown="0" showInputMessage="0" showErrorMessage="1" allowBlank="1" errorTitle="Pick from the list" error="Allowed: y" type="list">
      <formula1>"y"</formula1>
    </dataValidation>
    <dataValidation sqref="B4" showDropDown="0" showInputMessage="0" showErrorMessage="1" allowBlank="1" errorTitle="Pick from the list" error="Allowed: Active, Closed, Product-changed, Authorized-user-only" type="list">
      <formula1>"Active,Closed,Product-changed,Authorized-user-only"</formula1>
    </dataValidation>
    <dataValidation sqref="B2" showDropDown="0" showInputMessage="0" showErrorMessage="1" allowBlank="1" errorTitle="Pick from the list" error="Allowed: Amex, Chase, Citi, Capital One, Bank of America, Discover, Wells Fargo, US Bank, Barclays, Robinhood, Other" type="list">
      <formula1>"Amex,Chase,Citi,Capital One,Bank of America,Discover,Wells Fargo,US Bank,Barclays,Robinhood,Other"</formula1>
    </dataValidation>
  </dataValidations>
  <pageMargins left="0.75" right="0.75" top="1" bottom="1" header="0.5" footer="0.5"/>
</worksheet>
</file>

<file path=xl/worksheets/sheet4.xml><?xml version="1.0" encoding="utf-8"?>
<worksheet xmlns="http://schemas.openxmlformats.org/spreadsheetml/2006/main">
  <sheetPr>
    <tabColor rgb="008EAADB"/>
    <outlinePr summaryBelow="1" summaryRight="1"/>
    <pageSetUpPr/>
  </sheetPr>
  <dimension ref="A1:Z32"/>
  <sheetViews>
    <sheetView workbookViewId="0">
      <pane xSplit="11" ySplit="18" topLeftCell="L19"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5" customWidth="1" min="3" max="3"/>
    <col width="13" customWidth="1" min="4" max="4"/>
    <col width="8" customWidth="1" min="5" max="5"/>
    <col width="12" customWidth="1" min="6" max="6"/>
    <col width="12" customWidth="1" min="7" max="7"/>
    <col width="12" customWidth="1" min="8" max="8"/>
    <col width="10" customWidth="1" min="9" max="9"/>
    <col hidden="1" width="11" customWidth="1" min="10" max="10"/>
    <col hidden="1" width="9"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hidden="1" width="13" customWidth="1" min="24" max="24"/>
    <col hidden="1" width="13" customWidth="1" min="25" max="25"/>
    <col width="62" customWidth="1" min="26" max="26"/>
  </cols>
  <sheetData>
    <row r="1">
      <c r="A1" s="3" t="inlineStr">
        <is>
          <t>Card</t>
        </is>
      </c>
      <c r="B1" t="inlineStr">
        <is>
          <t>CHASE-BOUNDLESS</t>
        </is>
      </c>
    </row>
    <row r="2">
      <c r="A2" s="3" t="inlineStr">
        <is>
          <t>Issuer</t>
        </is>
      </c>
      <c r="B2" t="inlineStr">
        <is>
          <t>Chase</t>
        </is>
      </c>
      <c r="Z2" t="inlineStr">
        <is>
          <t>Annual fee $95. Open date is a PLACEHOLDER - change B5 and B10 to the real approval date.</t>
        </is>
      </c>
    </row>
    <row r="3">
      <c r="A3" s="3" t="inlineStr">
        <is>
          <t>Product (exact)</t>
        </is>
      </c>
      <c r="B3" t="inlineStr">
        <is>
          <t>Marriott Bonvoy Boundless</t>
        </is>
      </c>
      <c r="D3" s="3" t="inlineStr">
        <is>
          <t>Credits used YTD - statement credits (SC)</t>
        </is>
      </c>
      <c r="E3" s="4">
        <f>SUMIF($B$21:$B$21,"SC",$G$21:$G$21)+SUMIF($B$26:$B$26,"SC",$G$26:$G$26)+SUMIF($B$31:$B$31,"SC",$G$31:$G$31)</f>
        <v/>
      </c>
      <c r="G3">
        <f>HYPERLINK("#'Dashboard'!A1","&lt; back to Dashboard")</f>
        <v/>
      </c>
      <c r="H3">
        <f>MIN($Y$21:$Y$21,$Y$26:$Y$26,$Y$31:$Y$31)</f>
        <v/>
      </c>
    </row>
    <row r="4">
      <c r="A4" s="3" t="inlineStr">
        <is>
          <t>Card status</t>
        </is>
      </c>
      <c r="B4" t="inlineStr">
        <is>
          <t>Active</t>
        </is>
      </c>
      <c r="D4" s="3" t="inlineStr">
        <is>
          <t>Credits used YTD - incl. estimated (SC+EST)</t>
        </is>
      </c>
      <c r="E4" s="4">
        <f>SUMIF($B$21:$B$21,"SC",$G$21:$G$21)+SUMIF($B$26:$B$26,"SC",$G$26:$G$26)+SUMIF($B$31:$B$31,"SC",$G$31:$G$31)+SUMIF($B$21:$B$21,"EST",$G$21:$G$21)+SUMIF($B$26:$B$26,"EST",$G$26:$G$26)+SUMIF($B$31:$B$31,"EST",$G$31:$G$31)</f>
        <v/>
      </c>
      <c r="H4">
        <f>SUMIF($B$21:$B$21,"SC",$F$21:$F$21)+SUMIF($B$26:$B$26,"SC",$F$26:$F$26)+SUMIF($B$31:$B$31,"SC",$F$31:$F$31)</f>
        <v/>
      </c>
    </row>
    <row r="5">
      <c r="A5" s="3" t="inlineStr">
        <is>
          <t>Open date (approval)</t>
        </is>
      </c>
      <c r="B5" s="2" t="n">
        <v>46023</v>
      </c>
      <c r="D5" s="3" t="inlineStr">
        <is>
          <t>Max annual value (statement credits + estimated)</t>
        </is>
      </c>
      <c r="E5" s="4">
        <f>SUM($F$21:$F$21)+SUM($F$26:$F$26)+SUM($F$31:$F$31)</f>
        <v/>
      </c>
    </row>
    <row r="6">
      <c r="A6" s="3" t="inlineStr">
        <is>
          <t>Months held</t>
        </is>
      </c>
      <c r="B6">
        <f>IF($B$5="","",DATEDIF($B$5,TODAY(),"m"))</f>
        <v/>
      </c>
      <c r="D6" s="3" t="inlineStr">
        <is>
          <t>Remaining annual credit value (incl. est.)</t>
        </is>
      </c>
      <c r="E6" s="4">
        <f>MAX(0,$E$5-$E$4)</f>
        <v/>
      </c>
    </row>
    <row r="7">
      <c r="A7" s="3" t="inlineStr">
        <is>
          <t>Years held</t>
        </is>
      </c>
      <c r="B7">
        <f>IF($B$6="","",ROUND($B$6/12,1))</f>
        <v/>
      </c>
      <c r="D7" s="3" t="inlineStr">
        <is>
          <t>Remaining - statement credits only</t>
        </is>
      </c>
      <c r="E7" s="4">
        <f>MAX(0,$H$4-$E$3)</f>
        <v/>
      </c>
    </row>
    <row r="8">
      <c r="A8" s="3" t="inlineStr">
        <is>
          <t>Annual fee (USD)</t>
        </is>
      </c>
      <c r="B8" s="4" t="n">
        <v>95</v>
      </c>
      <c r="D8" s="3" t="inlineStr">
        <is>
          <t>Net benefit - statement credits</t>
        </is>
      </c>
      <c r="E8" s="5">
        <f>$E$3-$B$12</f>
        <v/>
      </c>
    </row>
    <row r="9">
      <c r="A9" s="3" t="inlineStr">
        <is>
          <t>First-year AF waived?</t>
        </is>
      </c>
      <c r="D9" s="3" t="inlineStr">
        <is>
          <t>Net benefit - incl. estimated</t>
        </is>
      </c>
      <c r="E9" s="4">
        <f>$E$4-$B$12</f>
        <v/>
      </c>
    </row>
    <row r="10">
      <c r="A10" s="3" t="inlineStr">
        <is>
          <t>AF posting date (current cycle)</t>
        </is>
      </c>
      <c r="B10" s="2" t="n">
        <v>46023</v>
      </c>
      <c r="D10" s="3" t="inlineStr">
        <is>
          <t>Result</t>
        </is>
      </c>
      <c r="E10">
        <f>IF($E$8&gt;=0,"POSITIVE","NEGATIVE")</f>
        <v/>
      </c>
    </row>
    <row r="11">
      <c r="A11" s="3" t="inlineStr">
        <is>
          <t>Authorized user AF (total, USD)</t>
        </is>
      </c>
      <c r="B11" s="4" t="n">
        <v>0</v>
      </c>
      <c r="D11" s="3" t="inlineStr">
        <is>
          <t>AF breakeven gap</t>
        </is>
      </c>
      <c r="E11" s="4">
        <f>MAX(0,-$E$8)</f>
        <v/>
      </c>
    </row>
    <row r="12">
      <c r="A12" s="3" t="inlineStr">
        <is>
          <t>Total AF charged (this cycle)</t>
        </is>
      </c>
      <c r="B12" s="4">
        <f>IF($B$9="y",0,$B$8)+$B$11</f>
        <v/>
      </c>
      <c r="D12" s="3" t="inlineStr">
        <is>
          <t>Credit utilization %</t>
        </is>
      </c>
      <c r="E12" s="6">
        <f>IF($E$5=0,"",$E$4/$E$5)</f>
        <v/>
      </c>
    </row>
    <row r="13">
      <c r="A13" s="3" t="inlineStr">
        <is>
          <t>Next AF date (projected)</t>
        </is>
      </c>
      <c r="B13" s="2">
        <f>EDATE($B$10,12)</f>
        <v/>
      </c>
      <c r="D13" s="3" t="inlineStr">
        <is>
          <t>Credits at risk (unused, &lt;=30 days left)</t>
        </is>
      </c>
      <c r="E13">
        <f>SUMPRODUCT(($Y$21:$Y$21&gt;=0)*($Y$21:$Y$21&lt;=30))+SUMPRODUCT(($Y$26:$Y$26&gt;=0)*($Y$26:$Y$26&lt;=30))+SUMPRODUCT(($Y$31:$Y$31&gt;=0)*($Y$31:$Y$31&lt;=30))</f>
        <v/>
      </c>
    </row>
    <row r="14">
      <c r="A14" s="3" t="inlineStr">
        <is>
          <t>Cardmember year start (current cycle)</t>
        </is>
      </c>
      <c r="B14" s="2">
        <f>IFERROR(EDATE($B$10,12*DATEDIF($B$10,TODAY(),"y")),"")</f>
        <v/>
      </c>
      <c r="D14" s="3" t="inlineStr">
        <is>
          <t>Nearest expiry (days)</t>
        </is>
      </c>
      <c r="E14">
        <f>IF($H$3&gt;=9999,"",$H$3)</f>
        <v/>
      </c>
    </row>
    <row r="15">
      <c r="D15" s="3" t="inlineStr">
        <is>
          <t>Amounts you entered (cells)</t>
        </is>
      </c>
      <c r="E15">
        <f>COUNT(L21:W21)+COUNT(L26:W26)+COUNT(L31:W31)</f>
        <v/>
      </c>
    </row>
    <row r="16">
      <c r="D16" s="3" t="inlineStr">
        <is>
          <t>Entered total before capping</t>
        </is>
      </c>
      <c r="E16" s="4">
        <f>SUM(L21:W21)+SUM(L26:W26)+SUM(L31:W31)</f>
        <v/>
      </c>
    </row>
    <row r="17">
      <c r="A17" s="13" t="inlineStr">
        <is>
          <t>WHERE TO TYPE: put the amount you used into the month column of that row. SC rows are real statement credits and drive your net benefit. EST rows are values you set yourself (baggage fees saved) and only count in the 'incl. estimated' totals. 'Amounts you entered' above counts how many month cells you have filled in.</t>
        </is>
      </c>
    </row>
    <row r="18"/>
    <row r="19" ht="20" customHeight="1">
      <c r="A19" s="14" t="inlineStr">
        <is>
          <t>SECTION 1 · STATEMENT CREDITS (SC) · real money on your statement. NET BENEFIT COMES FROM HERE. Type the amount you used into the month column.</t>
        </is>
      </c>
    </row>
    <row r="20">
      <c r="A20" s="7" t="inlineStr">
        <is>
          <t>Benefit</t>
        </is>
      </c>
      <c r="B20" s="7" t="inlineStr">
        <is>
          <t>Basis</t>
        </is>
      </c>
      <c r="C20" s="7" t="inlineStr">
        <is>
          <t>Cycle</t>
        </is>
      </c>
      <c r="D20" s="7" t="inlineStr">
        <is>
          <t>Value/cycle</t>
        </is>
      </c>
      <c r="E20" s="7" t="inlineStr">
        <is>
          <t>Cyc/yr</t>
        </is>
      </c>
      <c r="F20" s="7" t="inlineStr">
        <is>
          <t>Max annual</t>
        </is>
      </c>
      <c r="G20" s="7" t="inlineStr">
        <is>
          <t>Used</t>
        </is>
      </c>
      <c r="H20" s="7" t="inlineStr">
        <is>
          <t>Remaining</t>
        </is>
      </c>
      <c r="I20" s="7" t="inlineStr">
        <is>
          <t>Uses</t>
        </is>
      </c>
      <c r="J20" s="7" t="inlineStr">
        <is>
          <t>Cycle end</t>
        </is>
      </c>
      <c r="K20" s="7" t="inlineStr">
        <is>
          <t>Days left</t>
        </is>
      </c>
      <c r="L20" s="7">
        <f>INDEX('Ref'!$J$3:$J$14,COLUMN()-11)</f>
        <v/>
      </c>
      <c r="M20" s="7">
        <f>INDEX('Ref'!$J$3:$J$14,COLUMN()-11)</f>
        <v/>
      </c>
      <c r="N20" s="7">
        <f>INDEX('Ref'!$J$3:$J$14,COLUMN()-11)</f>
        <v/>
      </c>
      <c r="O20" s="7">
        <f>INDEX('Ref'!$J$3:$J$14,COLUMN()-11)</f>
        <v/>
      </c>
      <c r="P20" s="7">
        <f>INDEX('Ref'!$J$3:$J$14,COLUMN()-11)</f>
        <v/>
      </c>
      <c r="Q20" s="7">
        <f>INDEX('Ref'!$J$3:$J$14,COLUMN()-11)</f>
        <v/>
      </c>
      <c r="R20" s="7">
        <f>INDEX('Ref'!$J$3:$J$14,COLUMN()-11)</f>
        <v/>
      </c>
      <c r="S20" s="7">
        <f>INDEX('Ref'!$J$3:$J$14,COLUMN()-11)</f>
        <v/>
      </c>
      <c r="T20" s="7">
        <f>INDEX('Ref'!$J$3:$J$14,COLUMN()-11)</f>
        <v/>
      </c>
      <c r="U20" s="7">
        <f>INDEX('Ref'!$J$3:$J$14,COLUMN()-11)</f>
        <v/>
      </c>
      <c r="V20" s="7">
        <f>INDEX('Ref'!$J$3:$J$14,COLUMN()-11)</f>
        <v/>
      </c>
      <c r="W20" s="7">
        <f>INDEX('Ref'!$J$3:$J$14,COLUMN()-11)</f>
        <v/>
      </c>
      <c r="Z20" s="15" t="inlineStr">
        <is>
          <t>Notes / source</t>
        </is>
      </c>
    </row>
    <row r="21">
      <c r="A21" t="inlineStr">
        <is>
          <t>Airline credit</t>
        </is>
      </c>
      <c r="B21" t="inlineStr">
        <is>
          <t>SC</t>
        </is>
      </c>
      <c r="C21" t="inlineStr">
        <is>
          <t>SEMI-ANNUAL</t>
        </is>
      </c>
      <c r="D21" s="4" t="n">
        <v>50</v>
      </c>
      <c r="E21">
        <f>IF($C21="MONTHLY",12,IF($C21="QUARTERLY",4,IF($C21="SEMI-ANNUAL",2,IF($C21="CALENDAR-YEAR",1,""))))</f>
        <v/>
      </c>
      <c r="F21" s="4">
        <f>IF(OR($D21="",$E21=""),"",$D21*$E21)</f>
        <v/>
      </c>
      <c r="G21" s="4">
        <f>IF($D21="","",IF(ISNUMBER($F21),MIN($X21,$F21),$X21))</f>
        <v/>
      </c>
      <c r="H21" s="4">
        <f>IF($F21="","",MAX(0,$F21-$G21))</f>
        <v/>
      </c>
      <c r="I21">
        <f>SUMPRODUCT(ISNUMBER($L21:$W21)*($L21:$W21&gt;0))</f>
        <v/>
      </c>
      <c r="J21">
        <f>IF($C21="MONTHLY",EOMONTH(TODAY(),0),IF($C21="QUARTERLY",EOMONTH(DATE('Ref'!$B$1,ROUNDUP(MONTH(TODAY())/3,0)*3,1),0),IF($C21="SEMI-ANNUAL",IF(MONTH(TODAY())&lt;=6,DATE('Ref'!$B$1,6,30),DATE('Ref'!$B$1,12,31)),DATE('Ref'!$B$1,12,31))))</f>
        <v/>
      </c>
      <c r="K21">
        <f>IFERROR($J21-TODAY(),"")</f>
        <v/>
      </c>
      <c r="X21">
        <f>IF($D21="",SUM($L21:$W21),SUM($L21:$W21)-SUMIF($L21:$W21,"&gt;"&amp;$D21)+(COUNT($L21:$W21)-COUNTIF($L21:$W21,"&lt;="&amp;$D21))*$D21)</f>
        <v/>
      </c>
      <c r="Y21">
        <f>IF(AND(ISNUMBER($H21),$H21&gt;0,ISNUMBER($K21),$K21&gt;=0),$K21,9999)</f>
        <v/>
      </c>
      <c r="Z21" t="inlineStr">
        <is>
          <t>OFFICIAL (Chase.com): 'Unlock up to $100 in Airline Credits' - a $50 statement credit after you spend $250 or more DIRECTLY WITH AIRLINES in Jan-Jun, and another $50 after $250 or more in Jul-Dec (max $100 through 12/31/2026). EXISTING cardmembers must activate the offer once at chase.com/mybonus/marriott-airline-credit or by phone. New cardmembers who applied 6/4/2026-12/31/2026 are auto-enrolled and their second half runs Jan-Jun 2027</t>
        </is>
      </c>
    </row>
    <row r="22">
      <c r="A22" s="9" t="inlineStr">
        <is>
          <t>Subtotal - Section 1</t>
        </is>
      </c>
      <c r="F22" s="10">
        <f>SUM($F$21:$F$21)</f>
        <v/>
      </c>
      <c r="G22" s="10">
        <f>SUM($G$21:$G$21)</f>
        <v/>
      </c>
      <c r="H22" s="10">
        <f>SUM($H$21:$H$21)</f>
        <v/>
      </c>
      <c r="I22" s="10">
        <f>SUM($I$21:$I$21)</f>
        <v/>
      </c>
    </row>
    <row r="23"/>
    <row r="24" ht="20" customHeight="1">
      <c r="A24" s="16" t="inlineStr">
        <is>
          <t>SECTION 2 · ESTIMATED SAVINGS (EST) · Counts only in the 'incl. estimated' totals.</t>
        </is>
      </c>
    </row>
    <row r="25">
      <c r="A25" s="7" t="inlineStr">
        <is>
          <t>Benefit</t>
        </is>
      </c>
      <c r="B25" s="7" t="inlineStr">
        <is>
          <t>Basis</t>
        </is>
      </c>
      <c r="C25" s="7" t="inlineStr">
        <is>
          <t>Cycle</t>
        </is>
      </c>
      <c r="D25" s="7" t="inlineStr">
        <is>
          <t>Value/cycle</t>
        </is>
      </c>
      <c r="E25" s="7" t="inlineStr">
        <is>
          <t>Cyc/yr</t>
        </is>
      </c>
      <c r="F25" s="7" t="inlineStr">
        <is>
          <t>Max annual</t>
        </is>
      </c>
      <c r="G25" s="7" t="inlineStr">
        <is>
          <t>Used</t>
        </is>
      </c>
      <c r="H25" s="7" t="inlineStr">
        <is>
          <t>Remaining</t>
        </is>
      </c>
      <c r="I25" s="7" t="inlineStr">
        <is>
          <t>Uses</t>
        </is>
      </c>
      <c r="J25" s="7" t="inlineStr">
        <is>
          <t>Cycle end</t>
        </is>
      </c>
      <c r="K25" s="7" t="inlineStr">
        <is>
          <t>Days left</t>
        </is>
      </c>
      <c r="L25" s="7">
        <f>INDEX('Ref'!$J$3:$J$14,COLUMN()-11)</f>
        <v/>
      </c>
      <c r="M25" s="7">
        <f>INDEX('Ref'!$J$3:$J$14,COLUMN()-11)</f>
        <v/>
      </c>
      <c r="N25" s="7">
        <f>INDEX('Ref'!$J$3:$J$14,COLUMN()-11)</f>
        <v/>
      </c>
      <c r="O25" s="7">
        <f>INDEX('Ref'!$J$3:$J$14,COLUMN()-11)</f>
        <v/>
      </c>
      <c r="P25" s="7">
        <f>INDEX('Ref'!$J$3:$J$14,COLUMN()-11)</f>
        <v/>
      </c>
      <c r="Q25" s="7">
        <f>INDEX('Ref'!$J$3:$J$14,COLUMN()-11)</f>
        <v/>
      </c>
      <c r="R25" s="7">
        <f>INDEX('Ref'!$J$3:$J$14,COLUMN()-11)</f>
        <v/>
      </c>
      <c r="S25" s="7">
        <f>INDEX('Ref'!$J$3:$J$14,COLUMN()-11)</f>
        <v/>
      </c>
      <c r="T25" s="7">
        <f>INDEX('Ref'!$J$3:$J$14,COLUMN()-11)</f>
        <v/>
      </c>
      <c r="U25" s="7">
        <f>INDEX('Ref'!$J$3:$J$14,COLUMN()-11)</f>
        <v/>
      </c>
      <c r="V25" s="7">
        <f>INDEX('Ref'!$J$3:$J$14,COLUMN()-11)</f>
        <v/>
      </c>
      <c r="W25" s="7">
        <f>INDEX('Ref'!$J$3:$J$14,COLUMN()-11)</f>
        <v/>
      </c>
      <c r="Z25" s="15" t="inlineStr">
        <is>
          <t>Notes / source</t>
        </is>
      </c>
    </row>
    <row r="26">
      <c r="A26" t="inlineStr">
        <is>
          <t>DoorDash non-restaurant discount</t>
        </is>
      </c>
      <c r="B26" t="inlineStr">
        <is>
          <t>EST</t>
        </is>
      </c>
      <c r="C26" t="inlineStr">
        <is>
          <t>QUARTERLY</t>
        </is>
      </c>
      <c r="D26" s="4" t="n">
        <v>10</v>
      </c>
      <c r="E26">
        <f>IF($C26="MONTHLY",12,IF($C26="QUARTERLY",4,IF($C26="SEMI-ANNUAL",2,IF($C26="CALENDAR-YEAR",1,""))))</f>
        <v/>
      </c>
      <c r="F26" s="4">
        <f>IF(OR($D26="",$E26=""),"",$D26*$E26)</f>
        <v/>
      </c>
      <c r="G26" s="4">
        <f>IF($D26="","",IF(ISNUMBER($F26),MIN($X26,$F26),$X26))</f>
        <v/>
      </c>
      <c r="H26" s="4">
        <f>IF($F26="","",MAX(0,$F26-$G26))</f>
        <v/>
      </c>
      <c r="I26">
        <f>SUMPRODUCT(ISNUMBER($L26:$W26)*($L26:$W26&gt;0))</f>
        <v/>
      </c>
      <c r="J26">
        <f>IF($C26="MONTHLY",EOMONTH(TODAY(),0),IF($C26="QUARTERLY",EOMONTH(DATE('Ref'!$B$1,ROUNDUP(MONTH(TODAY())/3,0)*3,1),0),IF($C26="SEMI-ANNUAL",IF(MONTH(TODAY())&lt;=6,DATE('Ref'!$B$1,6,30),DATE('Ref'!$B$1,12,31)),DATE('Ref'!$B$1,12,31))))</f>
        <v/>
      </c>
      <c r="K26">
        <f>IFERROR($J26-TODAY(),"")</f>
        <v/>
      </c>
      <c r="X26">
        <f>IF($D26="",SUM($L26:$W26),SUM($L26:$W26)-SUMIF($L26:$W26,"&gt;"&amp;$D26)+(COUNT($L26:$W26)-COUNTIF($L26:$W26,"&lt;="&amp;$D26))*$D26)</f>
        <v/>
      </c>
      <c r="Y26">
        <f>IF(AND(ISNUMBER($H26),$H26&gt;0,ISNUMBER($K26),$K26&gt;=0),$K26,9999)</f>
        <v/>
      </c>
      <c r="Z26" t="inlineStr">
        <is>
          <t>OFFICIAL (Chase.com): $10 off one qualifying non-restaurant DoorDash order each calendar quarter (up to $40/yr) once you activate the complimentary DashPass. It is a checkout discount, not a statement credit, hence EST</t>
        </is>
      </c>
    </row>
    <row r="27">
      <c r="A27" s="9" t="inlineStr">
        <is>
          <t>Subtotal - Section 2</t>
        </is>
      </c>
      <c r="F27" s="10">
        <f>SUM($F$26:$F$26)</f>
        <v/>
      </c>
      <c r="G27" s="10">
        <f>SUM($G$26:$G$26)</f>
        <v/>
      </c>
      <c r="H27" s="10">
        <f>SUM($H$26:$H$26)</f>
        <v/>
      </c>
      <c r="I27" s="10">
        <f>SUM($I$26:$I$26)</f>
        <v/>
      </c>
    </row>
    <row r="28"/>
    <row r="29" ht="20" customHeight="1">
      <c r="A29" s="16" t="inlineStr">
        <is>
          <t>SECTION 2b · ESTIMATED SAVINGS (EST) THAT RESET ON YOUR CARD ANNIVERSARY · the month columns follow YOUR anniversary month, not January. Counts only in the 'incl. estimated' totals.</t>
        </is>
      </c>
    </row>
    <row r="30">
      <c r="A30" s="7" t="inlineStr">
        <is>
          <t>Benefit</t>
        </is>
      </c>
      <c r="B30" s="7" t="inlineStr">
        <is>
          <t>Basis</t>
        </is>
      </c>
      <c r="C30" s="7" t="inlineStr">
        <is>
          <t>Cycle</t>
        </is>
      </c>
      <c r="D30" s="7" t="inlineStr">
        <is>
          <t>Value/cycle</t>
        </is>
      </c>
      <c r="E30" s="7" t="inlineStr">
        <is>
          <t>Cyc/yr</t>
        </is>
      </c>
      <c r="F30" s="7" t="inlineStr">
        <is>
          <t>Max annual</t>
        </is>
      </c>
      <c r="G30" s="7" t="inlineStr">
        <is>
          <t>Used</t>
        </is>
      </c>
      <c r="H30" s="7" t="inlineStr">
        <is>
          <t>Remaining</t>
        </is>
      </c>
      <c r="I30" s="7" t="inlineStr">
        <is>
          <t>Uses</t>
        </is>
      </c>
      <c r="J30" s="7" t="inlineStr">
        <is>
          <t>Cycle end</t>
        </is>
      </c>
      <c r="K30" s="7" t="inlineStr">
        <is>
          <t>Days left</t>
        </is>
      </c>
      <c r="L30" s="7">
        <f>IFERROR(INDEX('Ref'!$J$3:$J$14,MONTH(EDATE($B$14,0)))&amp;"-"&amp;TEXT(EDATE($B$14,0),"yy"),"")</f>
        <v/>
      </c>
      <c r="M30" s="7">
        <f>IFERROR(INDEX('Ref'!$J$3:$J$14,MONTH(EDATE($B$14,1)))&amp;"-"&amp;TEXT(EDATE($B$14,1),"yy"),"")</f>
        <v/>
      </c>
      <c r="N30" s="7">
        <f>IFERROR(INDEX('Ref'!$J$3:$J$14,MONTH(EDATE($B$14,2)))&amp;"-"&amp;TEXT(EDATE($B$14,2),"yy"),"")</f>
        <v/>
      </c>
      <c r="O30" s="7">
        <f>IFERROR(INDEX('Ref'!$J$3:$J$14,MONTH(EDATE($B$14,3)))&amp;"-"&amp;TEXT(EDATE($B$14,3),"yy"),"")</f>
        <v/>
      </c>
      <c r="P30" s="7">
        <f>IFERROR(INDEX('Ref'!$J$3:$J$14,MONTH(EDATE($B$14,4)))&amp;"-"&amp;TEXT(EDATE($B$14,4),"yy"),"")</f>
        <v/>
      </c>
      <c r="Q30" s="7">
        <f>IFERROR(INDEX('Ref'!$J$3:$J$14,MONTH(EDATE($B$14,5)))&amp;"-"&amp;TEXT(EDATE($B$14,5),"yy"),"")</f>
        <v/>
      </c>
      <c r="R30" s="7">
        <f>IFERROR(INDEX('Ref'!$J$3:$J$14,MONTH(EDATE($B$14,6)))&amp;"-"&amp;TEXT(EDATE($B$14,6),"yy"),"")</f>
        <v/>
      </c>
      <c r="S30" s="7">
        <f>IFERROR(INDEX('Ref'!$J$3:$J$14,MONTH(EDATE($B$14,7)))&amp;"-"&amp;TEXT(EDATE($B$14,7),"yy"),"")</f>
        <v/>
      </c>
      <c r="T30" s="7">
        <f>IFERROR(INDEX('Ref'!$J$3:$J$14,MONTH(EDATE($B$14,8)))&amp;"-"&amp;TEXT(EDATE($B$14,8),"yy"),"")</f>
        <v/>
      </c>
      <c r="U30" s="7">
        <f>IFERROR(INDEX('Ref'!$J$3:$J$14,MONTH(EDATE($B$14,9)))&amp;"-"&amp;TEXT(EDATE($B$14,9),"yy"),"")</f>
        <v/>
      </c>
      <c r="V30" s="7">
        <f>IFERROR(INDEX('Ref'!$J$3:$J$14,MONTH(EDATE($B$14,10)))&amp;"-"&amp;TEXT(EDATE($B$14,10),"yy"),"")</f>
        <v/>
      </c>
      <c r="W30" s="7">
        <f>IFERROR(INDEX('Ref'!$J$3:$J$14,MONTH(EDATE($B$14,11)))&amp;"-"&amp;TEXT(EDATE($B$14,11),"yy"),"")</f>
        <v/>
      </c>
      <c r="Z30" s="15" t="inlineStr">
        <is>
          <t>Notes / source</t>
        </is>
      </c>
    </row>
    <row r="31">
      <c r="A31" t="inlineStr">
        <is>
          <t>Annual Free Night Award</t>
        </is>
      </c>
      <c r="B31" t="inlineStr">
        <is>
          <t>EST</t>
        </is>
      </c>
      <c r="C31" t="inlineStr">
        <is>
          <t>CARDMEMBER-YEAR</t>
        </is>
      </c>
      <c r="D31" s="4" t="n"/>
      <c r="E31" t="n">
        <v>1</v>
      </c>
      <c r="F31" s="4">
        <f>IF($D31="","",$D31)</f>
        <v/>
      </c>
      <c r="G31" s="4">
        <f>IF($D31="","",IF(ISNUMBER($F31),MIN($X31,$F31),$X31))</f>
        <v/>
      </c>
      <c r="H31" s="4">
        <f>IF($F31="","",MAX(0,$F31-$G31))</f>
        <v/>
      </c>
      <c r="I31">
        <f>SUMPRODUCT(ISNUMBER($L31:$W31)*($L31:$W31&gt;0))</f>
        <v/>
      </c>
      <c r="J31">
        <f>IFERROR(EDATE($B$14,12)-1,"")</f>
        <v/>
      </c>
      <c r="K31">
        <f>IFERROR($J31-TODAY(),"")</f>
        <v/>
      </c>
      <c r="X31">
        <f>IF($D31="",SUM($L31:$W31),SUM($L31:$W31)-SUMIF($L31:$W31,"&gt;"&amp;$D31)+(COUNT($L31:$W31)-COUNTIF($L31:$W31,"&lt;="&amp;$D31))*$D31)</f>
        <v/>
      </c>
      <c r="Y31">
        <f>IF(AND(ISNUMBER($H31),$H31&gt;0,ISNUMBER($K31),$K31&gt;=0),$K31,9999)</f>
        <v/>
      </c>
      <c r="Z31" t="inlineStr">
        <is>
          <t>OFFICIAL (Chase.com): one free night each account anniversary year, valid at Marriott properties up to 35,000 points (you may top up with your own points). Deposited up to 8 weeks after the anniversary and expires 12 months later. NOT a statement credit - enter what the night would have cost you, or delete this row if you only want statement credits</t>
        </is>
      </c>
    </row>
    <row r="32">
      <c r="A32" s="9" t="inlineStr">
        <is>
          <t>Subtotal - Section 2b</t>
        </is>
      </c>
      <c r="F32" s="10">
        <f>SUM($F$31:$F$31)</f>
        <v/>
      </c>
      <c r="G32" s="10">
        <f>SUM($G$31:$G$31)</f>
        <v/>
      </c>
      <c r="H32" s="10">
        <f>SUM($H$31:$H$31)</f>
        <v/>
      </c>
      <c r="I32" s="10">
        <f>SUM($I$31:$I$31)</f>
        <v/>
      </c>
    </row>
  </sheetData>
  <mergeCells count="4">
    <mergeCell ref="A29:Z29"/>
    <mergeCell ref="A17:K17"/>
    <mergeCell ref="A19:Z19"/>
    <mergeCell ref="A24:Z24"/>
  </mergeCells>
  <conditionalFormatting sqref="L21:W21">
    <cfRule type="expression" priority="1" dxfId="1" stopIfTrue="1">
      <formula>AND(L21&lt;&gt;"",NOT(ISNUMBER(L21)))</formula>
    </cfRule>
    <cfRule type="expression" priority="2" dxfId="6" stopIfTrue="1">
      <formula>AND(ISNUMBER(L21),$D21&gt;0,L21&gt;$D21)</formula>
    </cfRule>
    <cfRule type="expression" priority="3" dxfId="7" stopIfTrue="0">
      <formula>AND($C21="QUARTERLY",COUNTIF($L$21:$N$21,"&gt;0")&gt;1)</formula>
    </cfRule>
    <cfRule type="expression" priority="4" dxfId="7" stopIfTrue="0">
      <formula>AND($C21="QUARTERLY",COUNTIF($O$21:$Q$21,"&gt;0")&gt;1)</formula>
    </cfRule>
    <cfRule type="expression" priority="5" dxfId="7" stopIfTrue="0">
      <formula>AND($C21="QUARTERLY",COUNTIF($R$21:$T$21,"&gt;0")&gt;1)</formula>
    </cfRule>
    <cfRule type="expression" priority="6" dxfId="7" stopIfTrue="0">
      <formula>AND($C21="QUARTERLY",COUNTIF($U$21:$W$21,"&gt;0")&gt;1)</formula>
    </cfRule>
    <cfRule type="expression" priority="7" dxfId="7" stopIfTrue="0">
      <formula>AND($C21="SEMI-ANNUAL",COUNTIF($L$21:$Q$21,"&gt;0")&gt;1)</formula>
    </cfRule>
    <cfRule type="expression" priority="8" dxfId="7" stopIfTrue="0">
      <formula>AND($C21="SEMI-ANNUAL",COUNTIF($R$21:$W$21,"&gt;0")&gt;1)</formula>
    </cfRule>
    <cfRule type="expression" priority="9" dxfId="4" stopIfTrue="0">
      <formula>AND(ISNUMBER(L21),L21&gt;0)</formula>
    </cfRule>
  </conditionalFormatting>
  <conditionalFormatting sqref="L26:W26">
    <cfRule type="expression" priority="10" dxfId="1" stopIfTrue="1">
      <formula>AND(L26&lt;&gt;"",NOT(ISNUMBER(L26)))</formula>
    </cfRule>
    <cfRule type="expression" priority="11" dxfId="6" stopIfTrue="1">
      <formula>AND(ISNUMBER(L26),$D26&gt;0,L26&gt;$D26)</formula>
    </cfRule>
    <cfRule type="expression" priority="12" dxfId="7" stopIfTrue="0">
      <formula>AND($C26="QUARTERLY",COUNTIF($L$26:$N$26,"&gt;0")&gt;1)</formula>
    </cfRule>
    <cfRule type="expression" priority="13" dxfId="7" stopIfTrue="0">
      <formula>AND($C26="QUARTERLY",COUNTIF($O$26:$Q$26,"&gt;0")&gt;1)</formula>
    </cfRule>
    <cfRule type="expression" priority="14" dxfId="7" stopIfTrue="0">
      <formula>AND($C26="QUARTERLY",COUNTIF($R$26:$T$26,"&gt;0")&gt;1)</formula>
    </cfRule>
    <cfRule type="expression" priority="15" dxfId="7" stopIfTrue="0">
      <formula>AND($C26="QUARTERLY",COUNTIF($U$26:$W$26,"&gt;0")&gt;1)</formula>
    </cfRule>
    <cfRule type="expression" priority="16" dxfId="7" stopIfTrue="0">
      <formula>AND($C26="SEMI-ANNUAL",COUNTIF($L$26:$Q$26,"&gt;0")&gt;1)</formula>
    </cfRule>
    <cfRule type="expression" priority="17" dxfId="7" stopIfTrue="0">
      <formula>AND($C26="SEMI-ANNUAL",COUNTIF($R$26:$W$26,"&gt;0")&gt;1)</formula>
    </cfRule>
    <cfRule type="expression" priority="18" dxfId="4" stopIfTrue="0">
      <formula>AND(ISNUMBER(L26),L26&gt;0)</formula>
    </cfRule>
  </conditionalFormatting>
  <conditionalFormatting sqref="L31:W31">
    <cfRule type="expression" priority="19" dxfId="1" stopIfTrue="1">
      <formula>AND(L31&lt;&gt;"",NOT(ISNUMBER(L31)))</formula>
    </cfRule>
    <cfRule type="expression" priority="20" dxfId="6" stopIfTrue="1">
      <formula>AND(ISNUMBER(L31),$D31&gt;0,L31&gt;$D31)</formula>
    </cfRule>
    <cfRule type="expression" priority="21" dxfId="7" stopIfTrue="0">
      <formula>AND($C31="QUARTERLY",COUNTIF($L$31:$N$31,"&gt;0")&gt;1)</formula>
    </cfRule>
    <cfRule type="expression" priority="22" dxfId="7" stopIfTrue="0">
      <formula>AND($C31="QUARTERLY",COUNTIF($O$31:$Q$31,"&gt;0")&gt;1)</formula>
    </cfRule>
    <cfRule type="expression" priority="23" dxfId="7" stopIfTrue="0">
      <formula>AND($C31="QUARTERLY",COUNTIF($R$31:$T$31,"&gt;0")&gt;1)</formula>
    </cfRule>
    <cfRule type="expression" priority="24" dxfId="7" stopIfTrue="0">
      <formula>AND($C31="QUARTERLY",COUNTIF($U$31:$W$31,"&gt;0")&gt;1)</formula>
    </cfRule>
    <cfRule type="expression" priority="25" dxfId="7" stopIfTrue="0">
      <formula>AND($C31="SEMI-ANNUAL",COUNTIF($L$31:$Q$31,"&gt;0")&gt;1)</formula>
    </cfRule>
    <cfRule type="expression" priority="26" dxfId="7" stopIfTrue="0">
      <formula>AND($C31="SEMI-ANNUAL",COUNTIF($R$31:$W$31,"&gt;0")&gt;1)</formula>
    </cfRule>
    <cfRule type="expression" priority="27" dxfId="4" stopIfTrue="0">
      <formula>AND(ISNUMBER(L31),L31&gt;0)</formula>
    </cfRule>
  </conditionalFormatting>
  <conditionalFormatting sqref="A21:I21">
    <cfRule type="expression" priority="28" dxfId="3" stopIfTrue="0">
      <formula>AND($A21&lt;&gt;"",$C21="")</formula>
    </cfRule>
  </conditionalFormatting>
  <conditionalFormatting sqref="A26:I26">
    <cfRule type="expression" priority="29" dxfId="3" stopIfTrue="0">
      <formula>AND($A26&lt;&gt;"",$C26="")</formula>
    </cfRule>
  </conditionalFormatting>
  <conditionalFormatting sqref="A31:I31">
    <cfRule type="expression" priority="30" dxfId="3" stopIfTrue="0">
      <formula>AND($A31&lt;&gt;"",$C31="")</formula>
    </cfRule>
  </conditionalFormatting>
  <conditionalFormatting sqref="E10">
    <cfRule type="expression" priority="31" dxfId="0" stopIfTrue="0">
      <formula>$E$10="POSITIVE"</formula>
    </cfRule>
    <cfRule type="expression" priority="32" dxfId="1" stopIfTrue="0">
      <formula>$E$10="NEGATIVE"</formula>
    </cfRule>
  </conditionalFormatting>
  <dataValidations count="10">
    <dataValidation sqref="L21:W21 L26:W26 L31:W31" showDropDown="0" showInputMessage="0" showErrorMessage="1" allowBlank="1" errorTitle="Enter an amount" error="Type the dollar amount you used in this cycle (0 or more), or leave the cell blank. Anything above the credit amount is automatically capped at the credit amount." promptTitle="Amount used" prompt="Type the dollar amount used in this cycle. Blank = not used. Values above the credit amount are capped automatically." type="decimal" operator="greaterThanOrEqual">
      <formula1>0</formula1>
    </dataValidation>
    <dataValidation sqref="B21" showDropDown="0" showInputMessage="0" showErrorMessage="1" allowBlank="1" errorTitle="Pick from the list" error="Allowed: SC, EST, ACCESS" type="list">
      <formula1>"SC,EST,ACCESS"</formula1>
    </dataValidation>
    <dataValidation sqref="B26" showDropDown="0" showInputMessage="0" showErrorMessage="1" allowBlank="1" errorTitle="Pick from the list" error="Allowed: SC, EST, ACCESS" type="list">
      <formula1>"SC,EST,ACCESS"</formula1>
    </dataValidation>
    <dataValidation sqref="B31" showDropDown="0" showInputMessage="0" showErrorMessage="1" allowBlank="1" errorTitle="Pick from the list" error="Allowed: SC, EST, ACCESS" type="list">
      <formula1>"SC,EST,ACCESS"</formula1>
    </dataValidation>
    <dataValidation sqref="C21" showDropDown="0" showInputMessage="0" showErrorMessage="1" allowBlank="1" errorTitle="Pick from the list" error="Allowed: MONTHLY, QUARTERLY, SEMI-ANNUAL, CALENDAR-YEAR" type="list">
      <formula1>"MONTHLY,QUARTERLY,SEMI-ANNUAL,CALENDAR-YEAR"</formula1>
    </dataValidation>
    <dataValidation sqref="C26" showDropDown="0" showInputMessage="0" showErrorMessage="1" allowBlank="1" errorTitle="Pick from the list" error="Allowed: MONTHLY, QUARTERLY, SEMI-ANNUAL, CALENDAR-YEAR" type="list">
      <formula1>"MONTHLY,QUARTERLY,SEMI-ANNUAL,CALENDAR-YEAR"</formula1>
    </dataValidation>
    <dataValidation sqref="C31" showDropDown="0" showInputMessage="0" showErrorMessage="1" allowBlank="1" errorTitle="Pick from the list" error="Allowed: CARDMEMBER-YEAR" type="list">
      <formula1>"CARDMEMBER-YEAR"</formula1>
    </dataValidation>
    <dataValidation sqref="B9" showDropDown="0" showInputMessage="0" showErrorMessage="1" allowBlank="1" errorTitle="Pick from the list" error="Allowed: y" type="list">
      <formula1>"y"</formula1>
    </dataValidation>
    <dataValidation sqref="B4" showDropDown="0" showInputMessage="0" showErrorMessage="1" allowBlank="1" errorTitle="Pick from the list" error="Allowed: Active, Closed, Product-changed, Authorized-user-only" type="list">
      <formula1>"Active,Closed,Product-changed,Authorized-user-only"</formula1>
    </dataValidation>
    <dataValidation sqref="B2" showDropDown="0" showInputMessage="0" showErrorMessage="1" allowBlank="1" errorTitle="Pick from the list" error="Allowed: Amex, Chase, Citi, Capital One, Bank of America, Discover, Wells Fargo, US Bank, Barclays, Robinhood, Other" type="list">
      <formula1>"Amex,Chase,Citi,Capital One,Bank of America,Discover,Wells Fargo,US Bank,Barclays,Robinhood,Other"</formula1>
    </dataValidation>
  </dataValidations>
  <pageMargins left="0.75" right="0.75" top="1" bottom="1" header="0.5" footer="0.5"/>
</worksheet>
</file>

<file path=xl/worksheets/sheet5.xml><?xml version="1.0" encoding="utf-8"?>
<worksheet xmlns="http://schemas.openxmlformats.org/spreadsheetml/2006/main">
  <sheetPr>
    <tabColor rgb="008EAADB"/>
    <outlinePr summaryBelow="1" summaryRight="1"/>
    <pageSetUpPr/>
  </sheetPr>
  <dimension ref="A1:Z32"/>
  <sheetViews>
    <sheetView workbookViewId="0">
      <pane xSplit="11" ySplit="18" topLeftCell="L19"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5" customWidth="1" min="3" max="3"/>
    <col width="13" customWidth="1" min="4" max="4"/>
    <col width="8" customWidth="1" min="5" max="5"/>
    <col width="12" customWidth="1" min="6" max="6"/>
    <col width="12" customWidth="1" min="7" max="7"/>
    <col width="12" customWidth="1" min="8" max="8"/>
    <col width="10" customWidth="1" min="9" max="9"/>
    <col hidden="1" width="11" customWidth="1" min="10" max="10"/>
    <col hidden="1" width="9"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hidden="1" width="13" customWidth="1" min="24" max="24"/>
    <col hidden="1" width="13" customWidth="1" min="25" max="25"/>
    <col width="62" customWidth="1" min="26" max="26"/>
  </cols>
  <sheetData>
    <row r="1">
      <c r="A1" s="3" t="inlineStr">
        <is>
          <t>Card</t>
        </is>
      </c>
      <c r="B1" t="inlineStr">
        <is>
          <t>CHASE-CSP</t>
        </is>
      </c>
    </row>
    <row r="2">
      <c r="A2" s="3" t="inlineStr">
        <is>
          <t>Issuer</t>
        </is>
      </c>
      <c r="B2" t="inlineStr">
        <is>
          <t>Chase</t>
        </is>
      </c>
      <c r="Z2" t="inlineStr">
        <is>
          <t>Annual fee $95. The June 2026 refresh applies automatically to existing cardmembers. Open date is a PLACEHOLDER - change B5 and B10.</t>
        </is>
      </c>
    </row>
    <row r="3">
      <c r="A3" s="3" t="inlineStr">
        <is>
          <t>Product (exact)</t>
        </is>
      </c>
      <c r="B3" t="inlineStr">
        <is>
          <t>Chase Sapphire Preferred</t>
        </is>
      </c>
      <c r="D3" s="3" t="inlineStr">
        <is>
          <t>Credits used YTD - statement credits (SC)</t>
        </is>
      </c>
      <c r="E3" s="4">
        <f>SUMIF($B$21:$B$21,"SC",$G$21:$G$21)+SUMIF($B$26:$B$26,"SC",$G$26:$G$26)+SUMIFS($F$31:$F$31,$B$31:$B$31,"SC",$I$31:$I$31,"y")</f>
        <v/>
      </c>
      <c r="G3">
        <f>HYPERLINK("#'Dashboard'!A1","&lt; back to Dashboard")</f>
        <v/>
      </c>
      <c r="H3">
        <f>MIN($Y$21:$Y$21,$Y$26:$Y$26)</f>
        <v/>
      </c>
    </row>
    <row r="4">
      <c r="A4" s="3" t="inlineStr">
        <is>
          <t>Card status</t>
        </is>
      </c>
      <c r="B4" t="inlineStr">
        <is>
          <t>Active</t>
        </is>
      </c>
      <c r="D4" s="3" t="inlineStr">
        <is>
          <t>Credits used YTD - incl. estimated (SC+EST)</t>
        </is>
      </c>
      <c r="E4" s="4">
        <f>SUMIF($B$21:$B$21,"SC",$G$21:$G$21)+SUMIF($B$26:$B$26,"SC",$G$26:$G$26)+SUMIFS($F$31:$F$31,$B$31:$B$31,"SC",$I$31:$I$31,"y")+SUMIF($B$21:$B$21,"EST",$G$21:$G$21)+SUMIF($B$26:$B$26,"EST",$G$26:$G$26)+SUMIFS($F$31:$F$31,$B$31:$B$31,"EST",$I$31:$I$31,"y")</f>
        <v/>
      </c>
      <c r="H4">
        <f>SUMIF($B$21:$B$21,"SC",$F$21:$F$21)+SUMIF($B$26:$B$26,"SC",$F$26:$F$26)+SUMIFS($F$31:$F$31,$B$31:$B$31,"SC")</f>
        <v/>
      </c>
    </row>
    <row r="5">
      <c r="A5" s="3" t="inlineStr">
        <is>
          <t>Open date (approval)</t>
        </is>
      </c>
      <c r="B5" s="2" t="n">
        <v>46023</v>
      </c>
      <c r="D5" s="3" t="inlineStr">
        <is>
          <t>Max annual value (statement credits + estimated)</t>
        </is>
      </c>
      <c r="E5" s="4">
        <f>SUM($F$21:$F$21)+SUM($F$26:$F$26)+SUM($F$31:$F$31)</f>
        <v/>
      </c>
    </row>
    <row r="6">
      <c r="A6" s="3" t="inlineStr">
        <is>
          <t>Months held</t>
        </is>
      </c>
      <c r="B6">
        <f>IF($B$5="","",DATEDIF($B$5,TODAY(),"m"))</f>
        <v/>
      </c>
      <c r="D6" s="3" t="inlineStr">
        <is>
          <t>Remaining annual credit value (incl. est.)</t>
        </is>
      </c>
      <c r="E6" s="4">
        <f>MAX(0,$E$5-$E$4)</f>
        <v/>
      </c>
    </row>
    <row r="7">
      <c r="A7" s="3" t="inlineStr">
        <is>
          <t>Years held</t>
        </is>
      </c>
      <c r="B7">
        <f>IF($B$6="","",ROUND($B$6/12,1))</f>
        <v/>
      </c>
      <c r="D7" s="3" t="inlineStr">
        <is>
          <t>Remaining - statement credits only</t>
        </is>
      </c>
      <c r="E7" s="4">
        <f>MAX(0,$H$4-$E$3)</f>
        <v/>
      </c>
    </row>
    <row r="8">
      <c r="A8" s="3" t="inlineStr">
        <is>
          <t>Annual fee (USD)</t>
        </is>
      </c>
      <c r="B8" s="4" t="n">
        <v>95</v>
      </c>
      <c r="D8" s="3" t="inlineStr">
        <is>
          <t>Net benefit - statement credits</t>
        </is>
      </c>
      <c r="E8" s="5">
        <f>$E$3-$B$12</f>
        <v/>
      </c>
    </row>
    <row r="9">
      <c r="A9" s="3" t="inlineStr">
        <is>
          <t>First-year AF waived?</t>
        </is>
      </c>
      <c r="D9" s="3" t="inlineStr">
        <is>
          <t>Net benefit - incl. estimated</t>
        </is>
      </c>
      <c r="E9" s="4">
        <f>$E$4-$B$12</f>
        <v/>
      </c>
    </row>
    <row r="10">
      <c r="A10" s="3" t="inlineStr">
        <is>
          <t>AF posting date (current cycle)</t>
        </is>
      </c>
      <c r="B10" s="2" t="n">
        <v>46023</v>
      </c>
      <c r="D10" s="3" t="inlineStr">
        <is>
          <t>Result</t>
        </is>
      </c>
      <c r="E10">
        <f>IF($E$8&gt;=0,"POSITIVE","NEGATIVE")</f>
        <v/>
      </c>
    </row>
    <row r="11">
      <c r="A11" s="3" t="inlineStr">
        <is>
          <t>Authorized user AF (total, USD)</t>
        </is>
      </c>
      <c r="B11" s="4" t="n">
        <v>0</v>
      </c>
      <c r="D11" s="3" t="inlineStr">
        <is>
          <t>AF breakeven gap</t>
        </is>
      </c>
      <c r="E11" s="4">
        <f>MAX(0,-$E$8)</f>
        <v/>
      </c>
    </row>
    <row r="12">
      <c r="A12" s="3" t="inlineStr">
        <is>
          <t>Total AF charged (this cycle)</t>
        </is>
      </c>
      <c r="B12" s="4">
        <f>IF($B$9="y",0,$B$8)+$B$11</f>
        <v/>
      </c>
      <c r="D12" s="3" t="inlineStr">
        <is>
          <t>Credit utilization %</t>
        </is>
      </c>
      <c r="E12" s="6">
        <f>IF($E$5=0,"",$E$4/$E$5)</f>
        <v/>
      </c>
    </row>
    <row r="13">
      <c r="A13" s="3" t="inlineStr">
        <is>
          <t>Next AF date (projected)</t>
        </is>
      </c>
      <c r="B13" s="2">
        <f>EDATE($B$10,12)</f>
        <v/>
      </c>
      <c r="D13" s="3" t="inlineStr">
        <is>
          <t>Credits at risk (unused, &lt;=30 days left)</t>
        </is>
      </c>
      <c r="E13">
        <f>SUMPRODUCT(($Y$21:$Y$21&gt;=0)*($Y$21:$Y$21&lt;=30))+SUMPRODUCT(($Y$26:$Y$26&gt;=0)*($Y$26:$Y$26&lt;=30))</f>
        <v/>
      </c>
    </row>
    <row r="14">
      <c r="A14" s="3" t="inlineStr">
        <is>
          <t>Cardmember year start (current cycle)</t>
        </is>
      </c>
      <c r="B14" s="2">
        <f>IFERROR(EDATE($B$10,12*DATEDIF($B$10,TODAY(),"y")),"")</f>
        <v/>
      </c>
      <c r="D14" s="3" t="inlineStr">
        <is>
          <t>Nearest expiry (days)</t>
        </is>
      </c>
      <c r="E14">
        <f>IF($H$3&gt;=9999,"",$H$3)</f>
        <v/>
      </c>
    </row>
    <row r="15">
      <c r="D15" s="3" t="inlineStr">
        <is>
          <t>Amounts you entered (cells)</t>
        </is>
      </c>
      <c r="E15">
        <f>COUNT(L21:W21)+COUNT(L26:W26)+COUNTIF($I$31:$I$31,"&gt;0")</f>
        <v/>
      </c>
    </row>
    <row r="16">
      <c r="D16" s="3" t="inlineStr">
        <is>
          <t>Entered total before capping</t>
        </is>
      </c>
      <c r="E16" s="4">
        <f>SUM(L21:W21)+SUM(L26:W26)+SUM($J$31:$J$31)</f>
        <v/>
      </c>
    </row>
    <row r="17">
      <c r="A17" s="13" t="inlineStr">
        <is>
          <t>WHERE TO TYPE: put the amount you used into the month column of that row. SC rows are real statement credits and drive your net benefit. EST rows are values you set yourself (baggage fees saved) and only count in the 'incl. estimated' totals. 'Amounts you entered' above counts how many month cells you have filled in.</t>
        </is>
      </c>
    </row>
    <row r="18"/>
    <row r="19" ht="20" customHeight="1">
      <c r="A19" s="14" t="inlineStr">
        <is>
          <t>SECTION 1 · STATEMENT CREDITS (SC) · real money on your statement. NET BENEFIT COMES FROM HERE. Type the amount you used into the month column.</t>
        </is>
      </c>
    </row>
    <row r="20">
      <c r="A20" s="7" t="inlineStr">
        <is>
          <t>Benefit</t>
        </is>
      </c>
      <c r="B20" s="7" t="inlineStr">
        <is>
          <t>Basis</t>
        </is>
      </c>
      <c r="C20" s="7" t="inlineStr">
        <is>
          <t>Cycle</t>
        </is>
      </c>
      <c r="D20" s="7" t="inlineStr">
        <is>
          <t>Value/cycle</t>
        </is>
      </c>
      <c r="E20" s="7" t="inlineStr">
        <is>
          <t>Cyc/yr</t>
        </is>
      </c>
      <c r="F20" s="7" t="inlineStr">
        <is>
          <t>Max annual</t>
        </is>
      </c>
      <c r="G20" s="7" t="inlineStr">
        <is>
          <t>Used</t>
        </is>
      </c>
      <c r="H20" s="7" t="inlineStr">
        <is>
          <t>Remaining</t>
        </is>
      </c>
      <c r="I20" s="7" t="inlineStr">
        <is>
          <t>Uses</t>
        </is>
      </c>
      <c r="J20" s="7" t="inlineStr">
        <is>
          <t>Cycle end</t>
        </is>
      </c>
      <c r="K20" s="7" t="inlineStr">
        <is>
          <t>Days left</t>
        </is>
      </c>
      <c r="L20" s="7">
        <f>INDEX('Ref'!$J$3:$J$14,COLUMN()-11)</f>
        <v/>
      </c>
      <c r="M20" s="7">
        <f>INDEX('Ref'!$J$3:$J$14,COLUMN()-11)</f>
        <v/>
      </c>
      <c r="N20" s="7">
        <f>INDEX('Ref'!$J$3:$J$14,COLUMN()-11)</f>
        <v/>
      </c>
      <c r="O20" s="7">
        <f>INDEX('Ref'!$J$3:$J$14,COLUMN()-11)</f>
        <v/>
      </c>
      <c r="P20" s="7">
        <f>INDEX('Ref'!$J$3:$J$14,COLUMN()-11)</f>
        <v/>
      </c>
      <c r="Q20" s="7">
        <f>INDEX('Ref'!$J$3:$J$14,COLUMN()-11)</f>
        <v/>
      </c>
      <c r="R20" s="7">
        <f>INDEX('Ref'!$J$3:$J$14,COLUMN()-11)</f>
        <v/>
      </c>
      <c r="S20" s="7">
        <f>INDEX('Ref'!$J$3:$J$14,COLUMN()-11)</f>
        <v/>
      </c>
      <c r="T20" s="7">
        <f>INDEX('Ref'!$J$3:$J$14,COLUMN()-11)</f>
        <v/>
      </c>
      <c r="U20" s="7">
        <f>INDEX('Ref'!$J$3:$J$14,COLUMN()-11)</f>
        <v/>
      </c>
      <c r="V20" s="7">
        <f>INDEX('Ref'!$J$3:$J$14,COLUMN()-11)</f>
        <v/>
      </c>
      <c r="W20" s="7">
        <f>INDEX('Ref'!$J$3:$J$14,COLUMN()-11)</f>
        <v/>
      </c>
      <c r="Z20" s="15" t="inlineStr">
        <is>
          <t>Notes / source</t>
        </is>
      </c>
    </row>
    <row r="21">
      <c r="A21" t="inlineStr">
        <is>
          <t>DoorDash non-restaurant credit</t>
        </is>
      </c>
      <c r="B21" t="inlineStr">
        <is>
          <t>SC</t>
        </is>
      </c>
      <c r="C21" t="inlineStr">
        <is>
          <t>MONTHLY</t>
        </is>
      </c>
      <c r="D21" s="4" t="n">
        <v>10</v>
      </c>
      <c r="E21">
        <f>IF($C21="MONTHLY",12,IF($C21="QUARTERLY",4,IF($C21="SEMI-ANNUAL",2,IF($C21="CALENDAR-YEAR",1,""))))</f>
        <v/>
      </c>
      <c r="F21" s="4">
        <f>IF(OR($D21="",$E21=""),"",$D21*$E21)</f>
        <v/>
      </c>
      <c r="G21" s="4">
        <f>IF($D21="","",IF(ISNUMBER($F21),MIN($X21,$F21),$X21))</f>
        <v/>
      </c>
      <c r="H21" s="4">
        <f>IF($F21="","",MAX(0,$F21-$G21))</f>
        <v/>
      </c>
      <c r="I21">
        <f>SUMPRODUCT(ISNUMBER($L21:$W21)*($L21:$W21&gt;0))</f>
        <v/>
      </c>
      <c r="J21">
        <f>IF($C21="MONTHLY",EOMONTH(TODAY(),0),IF($C21="QUARTERLY",EOMONTH(DATE('Ref'!$B$1,ROUNDUP(MONTH(TODAY())/3,0)*3,1),0),IF($C21="SEMI-ANNUAL",IF(MONTH(TODAY())&lt;=6,DATE('Ref'!$B$1,6,30),DATE('Ref'!$B$1,12,31)),DATE('Ref'!$B$1,12,31))))</f>
        <v/>
      </c>
      <c r="K21">
        <f>IFERROR($J21-TODAY(),"")</f>
        <v/>
      </c>
      <c r="X21">
        <f>IF($D21="",SUM($L21:$W21),SUM($L21:$W21)-SUMIF($L21:$W21,"&gt;"&amp;$D21)+(COUNT($L21:$W21)-COUNTIF($L21:$W21,"&lt;="&amp;$D21))*$D21)</f>
        <v/>
      </c>
      <c r="Y21">
        <f>IF(AND(ISNUMBER($H21),$H21&gt;0,ISNUMBER($K21),$K21&gt;=0),$K21,9999)</f>
        <v/>
      </c>
      <c r="Z21" t="inlineStr">
        <is>
          <t>$10/mo promo through 12/31/2027; requires DashPass activated</t>
        </is>
      </c>
    </row>
    <row r="22">
      <c r="A22" s="9" t="inlineStr">
        <is>
          <t>Subtotal - Section 1</t>
        </is>
      </c>
      <c r="F22" s="10">
        <f>SUM($F$21:$F$21)</f>
        <v/>
      </c>
      <c r="G22" s="10">
        <f>SUM($G$21:$G$21)</f>
        <v/>
      </c>
      <c r="H22" s="10">
        <f>SUM($H$21:$H$21)</f>
        <v/>
      </c>
      <c r="I22" s="10">
        <f>SUM($I$21:$I$21)</f>
        <v/>
      </c>
    </row>
    <row r="23"/>
    <row r="24" ht="20" customHeight="1">
      <c r="A24" s="14" t="inlineStr">
        <is>
          <t>SECTION 1b · STATEMENT CREDITS (SC) THAT RESET ON YOUR CARD ANNIVERSARY · the month columns follow YOUR anniversary month, not January. NET BENEFIT COMES FROM HERE.</t>
        </is>
      </c>
    </row>
    <row r="25">
      <c r="A25" s="7" t="inlineStr">
        <is>
          <t>Benefit</t>
        </is>
      </c>
      <c r="B25" s="7" t="inlineStr">
        <is>
          <t>Basis</t>
        </is>
      </c>
      <c r="C25" s="7" t="inlineStr">
        <is>
          <t>Cycle</t>
        </is>
      </c>
      <c r="D25" s="7" t="inlineStr">
        <is>
          <t>Value/cycle</t>
        </is>
      </c>
      <c r="E25" s="7" t="inlineStr">
        <is>
          <t>Cyc/yr</t>
        </is>
      </c>
      <c r="F25" s="7" t="inlineStr">
        <is>
          <t>Max annual</t>
        </is>
      </c>
      <c r="G25" s="7" t="inlineStr">
        <is>
          <t>Used</t>
        </is>
      </c>
      <c r="H25" s="7" t="inlineStr">
        <is>
          <t>Remaining</t>
        </is>
      </c>
      <c r="I25" s="7" t="inlineStr">
        <is>
          <t>Uses</t>
        </is>
      </c>
      <c r="J25" s="7" t="inlineStr">
        <is>
          <t>Cycle end</t>
        </is>
      </c>
      <c r="K25" s="7" t="inlineStr">
        <is>
          <t>Days left</t>
        </is>
      </c>
      <c r="L25" s="7">
        <f>IFERROR(INDEX('Ref'!$J$3:$J$14,MONTH(EDATE($B$14,0)))&amp;"-"&amp;TEXT(EDATE($B$14,0),"yy"),"")</f>
        <v/>
      </c>
      <c r="M25" s="7">
        <f>IFERROR(INDEX('Ref'!$J$3:$J$14,MONTH(EDATE($B$14,1)))&amp;"-"&amp;TEXT(EDATE($B$14,1),"yy"),"")</f>
        <v/>
      </c>
      <c r="N25" s="7">
        <f>IFERROR(INDEX('Ref'!$J$3:$J$14,MONTH(EDATE($B$14,2)))&amp;"-"&amp;TEXT(EDATE($B$14,2),"yy"),"")</f>
        <v/>
      </c>
      <c r="O25" s="7">
        <f>IFERROR(INDEX('Ref'!$J$3:$J$14,MONTH(EDATE($B$14,3)))&amp;"-"&amp;TEXT(EDATE($B$14,3),"yy"),"")</f>
        <v/>
      </c>
      <c r="P25" s="7">
        <f>IFERROR(INDEX('Ref'!$J$3:$J$14,MONTH(EDATE($B$14,4)))&amp;"-"&amp;TEXT(EDATE($B$14,4),"yy"),"")</f>
        <v/>
      </c>
      <c r="Q25" s="7">
        <f>IFERROR(INDEX('Ref'!$J$3:$J$14,MONTH(EDATE($B$14,5)))&amp;"-"&amp;TEXT(EDATE($B$14,5),"yy"),"")</f>
        <v/>
      </c>
      <c r="R25" s="7">
        <f>IFERROR(INDEX('Ref'!$J$3:$J$14,MONTH(EDATE($B$14,6)))&amp;"-"&amp;TEXT(EDATE($B$14,6),"yy"),"")</f>
        <v/>
      </c>
      <c r="S25" s="7">
        <f>IFERROR(INDEX('Ref'!$J$3:$J$14,MONTH(EDATE($B$14,7)))&amp;"-"&amp;TEXT(EDATE($B$14,7),"yy"),"")</f>
        <v/>
      </c>
      <c r="T25" s="7">
        <f>IFERROR(INDEX('Ref'!$J$3:$J$14,MONTH(EDATE($B$14,8)))&amp;"-"&amp;TEXT(EDATE($B$14,8),"yy"),"")</f>
        <v/>
      </c>
      <c r="U25" s="7">
        <f>IFERROR(INDEX('Ref'!$J$3:$J$14,MONTH(EDATE($B$14,9)))&amp;"-"&amp;TEXT(EDATE($B$14,9),"yy"),"")</f>
        <v/>
      </c>
      <c r="V25" s="7">
        <f>IFERROR(INDEX('Ref'!$J$3:$J$14,MONTH(EDATE($B$14,10)))&amp;"-"&amp;TEXT(EDATE($B$14,10),"yy"),"")</f>
        <v/>
      </c>
      <c r="W25" s="7">
        <f>IFERROR(INDEX('Ref'!$J$3:$J$14,MONTH(EDATE($B$14,11)))&amp;"-"&amp;TEXT(EDATE($B$14,11),"yy"),"")</f>
        <v/>
      </c>
      <c r="Z25" s="15" t="inlineStr">
        <is>
          <t>Notes / source</t>
        </is>
      </c>
    </row>
    <row r="26">
      <c r="A26" t="inlineStr">
        <is>
          <t>Chase Travel hotel credit</t>
        </is>
      </c>
      <c r="B26" t="inlineStr">
        <is>
          <t>SC</t>
        </is>
      </c>
      <c r="C26" t="inlineStr">
        <is>
          <t>CARDMEMBER-YEAR</t>
        </is>
      </c>
      <c r="D26" s="4" t="n">
        <v>100</v>
      </c>
      <c r="E26" t="n">
        <v>1</v>
      </c>
      <c r="F26" s="4">
        <f>IF($D26="","",$D26)</f>
        <v/>
      </c>
      <c r="G26" s="4">
        <f>IF($D26="","",IF(ISNUMBER($F26),MIN($X26,$F26),$X26))</f>
        <v/>
      </c>
      <c r="H26" s="4">
        <f>IF($F26="","",MAX(0,$F26-$G26))</f>
        <v/>
      </c>
      <c r="I26">
        <f>SUMPRODUCT(ISNUMBER($L26:$W26)*($L26:$W26&gt;0))</f>
        <v/>
      </c>
      <c r="J26">
        <f>IFERROR(EDATE($B$14,12)-1,"")</f>
        <v/>
      </c>
      <c r="K26">
        <f>IFERROR($J26-TODAY(),"")</f>
        <v/>
      </c>
      <c r="X26">
        <f>IF($D26="",SUM($L26:$W26),SUM($L26:$W26)-SUMIF($L26:$W26,"&gt;"&amp;$D26)+(COUNT($L26:$W26)-COUNTIF($L26:$W26,"&lt;="&amp;$D26))*$D26)</f>
        <v/>
      </c>
      <c r="Y26">
        <f>IF(AND(ISNUMBER($H26),$H26&gt;0,ISNUMBER($K26),$K26&gt;=0),$K26,9999)</f>
        <v/>
      </c>
      <c r="Z26" t="inlineStr">
        <is>
          <t>OFFICIAL (Chase.com): '$100 Annual Chase Travel Hotel Credit' - resets every year on the cardmember's anniversary and unused amounts are forfeited. Prepaid hotels booked through Chase Travel only. No activation needed</t>
        </is>
      </c>
    </row>
    <row r="27">
      <c r="A27" s="9" t="inlineStr">
        <is>
          <t>Subtotal - Section 1b</t>
        </is>
      </c>
      <c r="F27" s="10">
        <f>SUM($F$26:$F$26)</f>
        <v/>
      </c>
      <c r="G27" s="10">
        <f>SUM($G$26:$G$26)</f>
        <v/>
      </c>
      <c r="H27" s="10">
        <f>SUM($H$26:$H$26)</f>
        <v/>
      </c>
      <c r="I27" s="10">
        <f>SUM($I$26:$I$26)</f>
        <v/>
      </c>
    </row>
    <row r="28"/>
    <row r="29" ht="20" customHeight="1">
      <c r="A29" s="17" t="inlineStr">
        <is>
          <t>SECTION 4 · ONE-TIME / EVERY-N-YEARS ITEMS (SC) · no month grid - enter the amount in the 'Used?' column.</t>
        </is>
      </c>
    </row>
    <row r="30">
      <c r="A30" s="7" t="inlineStr">
        <is>
          <t>Benefit</t>
        </is>
      </c>
      <c r="B30" s="7" t="inlineStr">
        <is>
          <t>Basis</t>
        </is>
      </c>
      <c r="C30" s="7" t="inlineStr">
        <is>
          <t>Cycle</t>
        </is>
      </c>
      <c r="D30" s="7" t="inlineStr">
        <is>
          <t>Value</t>
        </is>
      </c>
      <c r="E30" s="7" t="inlineStr">
        <is>
          <t>Yrs/cycle</t>
        </is>
      </c>
      <c r="F30" s="7" t="inlineStr">
        <is>
          <t>Annualized</t>
        </is>
      </c>
      <c r="G30" s="7" t="inlineStr">
        <is>
          <t>Date used</t>
        </is>
      </c>
      <c r="H30" s="7" t="inlineStr">
        <is>
          <t>Expiry / next eligible</t>
        </is>
      </c>
      <c r="I30" s="7" t="inlineStr">
        <is>
          <t>Used? (amount or y)</t>
        </is>
      </c>
      <c r="J30" s="7" t="inlineStr">
        <is>
          <t>Value captured</t>
        </is>
      </c>
      <c r="K30" s="7" t="inlineStr">
        <is>
          <t>Notes</t>
        </is>
      </c>
    </row>
    <row r="31">
      <c r="A31" t="inlineStr">
        <is>
          <t>Global Entry / TSA PreCheck / NEXUS credit</t>
        </is>
      </c>
      <c r="B31" t="inlineStr">
        <is>
          <t>SC</t>
        </is>
      </c>
      <c r="C31" t="inlineStr">
        <is>
          <t>MULTI-YEAR</t>
        </is>
      </c>
      <c r="D31" s="4" t="n">
        <v>120</v>
      </c>
      <c r="E31" t="n">
        <v>4</v>
      </c>
      <c r="F31" s="4">
        <f>IF(AND(ISNUMBER($D31),ISNUMBER($E31)),$D31/$E31,0)</f>
        <v/>
      </c>
      <c r="J31" s="4">
        <f>IF($I31="y",$D31,IF(ISNUMBER($I31),MIN($I31,$D31),0))</f>
        <v/>
      </c>
      <c r="K31" t="inlineStr">
        <is>
          <t>OFFICIAL (Chase press release 2026-06-15): '$120 Global Entry, TSA PreCheck, or NEXUS credit every four years'. Added 2026-06-15, no activation needed. Enter the amount in the 'Used?' column when you claim it</t>
        </is>
      </c>
    </row>
    <row r="32">
      <c r="A32" s="9" t="inlineStr">
        <is>
          <t>Subtotal - Section 4</t>
        </is>
      </c>
      <c r="D32" s="10">
        <f>SUM($D$31:$D$31)</f>
        <v/>
      </c>
      <c r="F32" s="10">
        <f>SUM($F$31:$F$31)</f>
        <v/>
      </c>
      <c r="J32" s="10">
        <f>SUM($J$31:$J$31)</f>
        <v/>
      </c>
    </row>
  </sheetData>
  <mergeCells count="4">
    <mergeCell ref="A29:Z29"/>
    <mergeCell ref="A17:K17"/>
    <mergeCell ref="A19:Z19"/>
    <mergeCell ref="A24:Z24"/>
  </mergeCells>
  <conditionalFormatting sqref="L21:W21">
    <cfRule type="expression" priority="1" dxfId="1" stopIfTrue="1">
      <formula>AND(L21&lt;&gt;"",NOT(ISNUMBER(L21)))</formula>
    </cfRule>
    <cfRule type="expression" priority="2" dxfId="6" stopIfTrue="1">
      <formula>AND(ISNUMBER(L21),$D21&gt;0,L21&gt;$D21)</formula>
    </cfRule>
    <cfRule type="expression" priority="3" dxfId="7" stopIfTrue="0">
      <formula>AND($C21="QUARTERLY",COUNTIF($L$21:$N$21,"&gt;0")&gt;1)</formula>
    </cfRule>
    <cfRule type="expression" priority="4" dxfId="7" stopIfTrue="0">
      <formula>AND($C21="QUARTERLY",COUNTIF($O$21:$Q$21,"&gt;0")&gt;1)</formula>
    </cfRule>
    <cfRule type="expression" priority="5" dxfId="7" stopIfTrue="0">
      <formula>AND($C21="QUARTERLY",COUNTIF($R$21:$T$21,"&gt;0")&gt;1)</formula>
    </cfRule>
    <cfRule type="expression" priority="6" dxfId="7" stopIfTrue="0">
      <formula>AND($C21="QUARTERLY",COUNTIF($U$21:$W$21,"&gt;0")&gt;1)</formula>
    </cfRule>
    <cfRule type="expression" priority="7" dxfId="7" stopIfTrue="0">
      <formula>AND($C21="SEMI-ANNUAL",COUNTIF($L$21:$Q$21,"&gt;0")&gt;1)</formula>
    </cfRule>
    <cfRule type="expression" priority="8" dxfId="7" stopIfTrue="0">
      <formula>AND($C21="SEMI-ANNUAL",COUNTIF($R$21:$W$21,"&gt;0")&gt;1)</formula>
    </cfRule>
    <cfRule type="expression" priority="9" dxfId="4" stopIfTrue="0">
      <formula>AND(ISNUMBER(L21),L21&gt;0)</formula>
    </cfRule>
  </conditionalFormatting>
  <conditionalFormatting sqref="L26:W26">
    <cfRule type="expression" priority="10" dxfId="1" stopIfTrue="1">
      <formula>AND(L26&lt;&gt;"",NOT(ISNUMBER(L26)))</formula>
    </cfRule>
    <cfRule type="expression" priority="11" dxfId="6" stopIfTrue="1">
      <formula>AND(ISNUMBER(L26),$D26&gt;0,L26&gt;$D26)</formula>
    </cfRule>
    <cfRule type="expression" priority="12" dxfId="7" stopIfTrue="0">
      <formula>AND($C26="QUARTERLY",COUNTIF($L$26:$N$26,"&gt;0")&gt;1)</formula>
    </cfRule>
    <cfRule type="expression" priority="13" dxfId="7" stopIfTrue="0">
      <formula>AND($C26="QUARTERLY",COUNTIF($O$26:$Q$26,"&gt;0")&gt;1)</formula>
    </cfRule>
    <cfRule type="expression" priority="14" dxfId="7" stopIfTrue="0">
      <formula>AND($C26="QUARTERLY",COUNTIF($R$26:$T$26,"&gt;0")&gt;1)</formula>
    </cfRule>
    <cfRule type="expression" priority="15" dxfId="7" stopIfTrue="0">
      <formula>AND($C26="QUARTERLY",COUNTIF($U$26:$W$26,"&gt;0")&gt;1)</formula>
    </cfRule>
    <cfRule type="expression" priority="16" dxfId="7" stopIfTrue="0">
      <formula>AND($C26="SEMI-ANNUAL",COUNTIF($L$26:$Q$26,"&gt;0")&gt;1)</formula>
    </cfRule>
    <cfRule type="expression" priority="17" dxfId="7" stopIfTrue="0">
      <formula>AND($C26="SEMI-ANNUAL",COUNTIF($R$26:$W$26,"&gt;0")&gt;1)</formula>
    </cfRule>
    <cfRule type="expression" priority="18" dxfId="4" stopIfTrue="0">
      <formula>AND(ISNUMBER(L26),L26&gt;0)</formula>
    </cfRule>
  </conditionalFormatting>
  <conditionalFormatting sqref="A21:I21">
    <cfRule type="expression" priority="19" dxfId="3" stopIfTrue="0">
      <formula>AND($A21&lt;&gt;"",$C21="")</formula>
    </cfRule>
  </conditionalFormatting>
  <conditionalFormatting sqref="A26:I26">
    <cfRule type="expression" priority="20" dxfId="3" stopIfTrue="0">
      <formula>AND($A26&lt;&gt;"",$C26="")</formula>
    </cfRule>
  </conditionalFormatting>
  <conditionalFormatting sqref="E10">
    <cfRule type="expression" priority="21" dxfId="0" stopIfTrue="0">
      <formula>$E$10="POSITIVE"</formula>
    </cfRule>
    <cfRule type="expression" priority="22" dxfId="1" stopIfTrue="0">
      <formula>$E$10="NEGATIVE"</formula>
    </cfRule>
  </conditionalFormatting>
  <dataValidations count="11">
    <dataValidation sqref="L21:W21 L26:W26" showDropDown="0" showInputMessage="0" showErrorMessage="1" allowBlank="1" errorTitle="Enter an amount" error="Type the dollar amount you used in this cycle (0 or more), or leave the cell blank. Anything above the credit amount is automatically capped at the credit amount." promptTitle="Amount used" prompt="Type the dollar amount used in this cycle. Blank = not used. Values above the credit amount are capped automatically." type="decimal" operator="greaterThanOrEqual">
      <formula1>0</formula1>
    </dataValidation>
    <dataValidation sqref="B21" showDropDown="0" showInputMessage="0" showErrorMessage="1" allowBlank="1" errorTitle="Pick from the list" error="Allowed: SC, EST, ACCESS" type="list">
      <formula1>"SC,EST,ACCESS"</formula1>
    </dataValidation>
    <dataValidation sqref="B26" showDropDown="0" showInputMessage="0" showErrorMessage="1" allowBlank="1" errorTitle="Pick from the list" error="Allowed: SC, EST, ACCESS" type="list">
      <formula1>"SC,EST,ACCESS"</formula1>
    </dataValidation>
    <dataValidation sqref="B31" showDropDown="0" showInputMessage="0" showErrorMessage="1" allowBlank="1" errorTitle="Pick from the list" error="Allowed: SC, EST, ACCESS" type="list">
      <formula1>"SC,EST,ACCESS"</formula1>
    </dataValidation>
    <dataValidation sqref="C21" showDropDown="0" showInputMessage="0" showErrorMessage="1" allowBlank="1" errorTitle="Pick from the list" error="Allowed: MONTHLY, QUARTERLY, SEMI-ANNUAL, CALENDAR-YEAR" type="list">
      <formula1>"MONTHLY,QUARTERLY,SEMI-ANNUAL,CALENDAR-YEAR"</formula1>
    </dataValidation>
    <dataValidation sqref="C26" showDropDown="0" showInputMessage="0" showErrorMessage="1" allowBlank="1" errorTitle="Pick from the list" error="Allowed: CARDMEMBER-YEAR" type="list">
      <formula1>"CARDMEMBER-YEAR"</formula1>
    </dataValidation>
    <dataValidation sqref="C31" showDropDown="0" showInputMessage="0" showErrorMessage="1" allowBlank="1" errorTitle="Pick from the list" error="Allowed: MULTI-YEAR, ONE-TIME" type="list">
      <formula1>"MULTI-YEAR,ONE-TIME"</formula1>
    </dataValidation>
    <dataValidation sqref="I31" showDropDown="0" showInputMessage="0" showErrorMessage="1" allowBlank="1" errorTitle="Pick from the list" error="Allowed: y" type="list">
      <formula1>"y"</formula1>
    </dataValidation>
    <dataValidation sqref="B9" showDropDown="0" showInputMessage="0" showErrorMessage="1" allowBlank="1" errorTitle="Pick from the list" error="Allowed: y" type="list">
      <formula1>"y"</formula1>
    </dataValidation>
    <dataValidation sqref="B4" showDropDown="0" showInputMessage="0" showErrorMessage="1" allowBlank="1" errorTitle="Pick from the list" error="Allowed: Active, Closed, Product-changed, Authorized-user-only" type="list">
      <formula1>"Active,Closed,Product-changed,Authorized-user-only"</formula1>
    </dataValidation>
    <dataValidation sqref="B2" showDropDown="0" showInputMessage="0" showErrorMessage="1" allowBlank="1" errorTitle="Pick from the list" error="Allowed: Amex, Chase, Citi, Capital One, Bank of America, Discover, Wells Fargo, US Bank, Barclays, Robinhood, Other" type="list">
      <formula1>"Amex,Chase,Citi,Capital One,Bank of America,Discover,Wells Fargo,US Bank,Barclays,Robinhood,Other"</formula1>
    </dataValidation>
  </dataValidations>
  <pageMargins left="0.75" right="0.75" top="1" bottom="1" header="0.5" footer="0.5"/>
</worksheet>
</file>

<file path=xl/worksheets/sheet6.xml><?xml version="1.0" encoding="utf-8"?>
<worksheet xmlns="http://schemas.openxmlformats.org/spreadsheetml/2006/main">
  <sheetPr>
    <tabColor rgb="00FFD966"/>
    <outlinePr summaryBelow="1" summaryRight="1"/>
    <pageSetUpPr/>
  </sheetPr>
  <dimension ref="A1:Z48"/>
  <sheetViews>
    <sheetView workbookViewId="0">
      <pane xSplit="11" ySplit="18" topLeftCell="L19"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5" customWidth="1" min="3" max="3"/>
    <col width="13" customWidth="1" min="4" max="4"/>
    <col width="8" customWidth="1" min="5" max="5"/>
    <col width="12" customWidth="1" min="6" max="6"/>
    <col width="12" customWidth="1" min="7" max="7"/>
    <col width="12" customWidth="1" min="8" max="8"/>
    <col width="10" customWidth="1" min="9" max="9"/>
    <col hidden="1" width="11" customWidth="1" min="10" max="10"/>
    <col hidden="1" width="9"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hidden="1" width="13" customWidth="1" min="24" max="24"/>
    <col hidden="1" width="13" customWidth="1" min="25" max="25"/>
    <col width="62" customWidth="1" min="26" max="26"/>
  </cols>
  <sheetData>
    <row r="1">
      <c r="A1" s="3" t="inlineStr">
        <is>
          <t>Card</t>
        </is>
      </c>
    </row>
    <row r="2">
      <c r="A2" s="3" t="inlineStr">
        <is>
          <t>Issuer</t>
        </is>
      </c>
    </row>
    <row r="3">
      <c r="A3" s="3" t="inlineStr">
        <is>
          <t>Product (exact)</t>
        </is>
      </c>
      <c r="D3" s="3" t="inlineStr">
        <is>
          <t>Credits used YTD - statement credits (SC)</t>
        </is>
      </c>
      <c r="E3" s="4">
        <f>SUMIF($B$21:$B$22,"SC",$G$21:$G$22)+SUMIF($B$27:$B$27,"SC",$G$27:$G$27)+SUMIF($B$32:$B$32,"SC",$G$32:$G$32)+SUMIF($B$37:$B$37,"SC",$G$37:$G$37)+SUMIFS($F$42:$F$42,$B$42:$B$42,"SC",$I$42:$I$42,"y")+SUMIFS($F$47:$F$47,$B$47:$B$47,"SC",$I$47:$I$47,"y")</f>
        <v/>
      </c>
      <c r="G3">
        <f>HYPERLINK("#'Dashboard'!A1","&lt; back to Dashboard")</f>
        <v/>
      </c>
      <c r="H3">
        <f>MIN($Y$21:$Y$22,$Y$27:$Y$27,$Y$32:$Y$32,$Y$37:$Y$37)</f>
        <v/>
      </c>
    </row>
    <row r="4">
      <c r="A4" s="3" t="inlineStr">
        <is>
          <t>Card status</t>
        </is>
      </c>
      <c r="D4" s="3" t="inlineStr">
        <is>
          <t>Credits used YTD - incl. estimated (SC+EST)</t>
        </is>
      </c>
      <c r="E4" s="4">
        <f>SUMIF($B$21:$B$22,"SC",$G$21:$G$22)+SUMIF($B$27:$B$27,"SC",$G$27:$G$27)+SUMIF($B$32:$B$32,"SC",$G$32:$G$32)+SUMIF($B$37:$B$37,"SC",$G$37:$G$37)+SUMIFS($F$42:$F$42,$B$42:$B$42,"SC",$I$42:$I$42,"y")+SUMIFS($F$47:$F$47,$B$47:$B$47,"SC",$I$47:$I$47,"y")+SUMIF($B$21:$B$22,"EST",$G$21:$G$22)+SUMIF($B$27:$B$27,"EST",$G$27:$G$27)+SUMIF($B$32:$B$32,"EST",$G$32:$G$32)+SUMIF($B$37:$B$37,"EST",$G$37:$G$37)+SUMIFS($F$42:$F$42,$B$42:$B$42,"EST",$I$42:$I$42,"y")+SUMIFS($F$47:$F$47,$B$47:$B$47,"EST",$I$47:$I$47,"y")</f>
        <v/>
      </c>
      <c r="H4">
        <f>SUMIF($B$21:$B$22,"SC",$F$21:$F$22)+SUMIF($B$27:$B$27,"SC",$F$27:$F$27)+SUMIF($B$32:$B$32,"SC",$F$32:$F$32)+SUMIF($B$37:$B$37,"SC",$F$37:$F$37)+SUMIFS($F$42:$F$42,$B$42:$B$42,"SC")+SUMIFS($F$47:$F$47,$B$47:$B$47,"SC")</f>
        <v/>
      </c>
    </row>
    <row r="5">
      <c r="A5" s="3" t="inlineStr">
        <is>
          <t>Open date (approval)</t>
        </is>
      </c>
      <c r="B5" s="2" t="n"/>
      <c r="D5" s="3" t="inlineStr">
        <is>
          <t>Max annual value (statement credits + estimated)</t>
        </is>
      </c>
      <c r="E5" s="4">
        <f>SUM($F$21:$F$22)+SUM($F$27:$F$27)+SUM($F$32:$F$32)+SUM($F$37:$F$37)+SUM($F$42:$F$42)+SUM($F$47:$F$47)</f>
        <v/>
      </c>
    </row>
    <row r="6">
      <c r="A6" s="3" t="inlineStr">
        <is>
          <t>Months held</t>
        </is>
      </c>
      <c r="B6">
        <f>IF($B$5="","",DATEDIF($B$5,TODAY(),"m"))</f>
        <v/>
      </c>
      <c r="D6" s="3" t="inlineStr">
        <is>
          <t>Remaining annual credit value (incl. est.)</t>
        </is>
      </c>
      <c r="E6" s="4">
        <f>MAX(0,$E$5-$E$4)</f>
        <v/>
      </c>
    </row>
    <row r="7">
      <c r="A7" s="3" t="inlineStr">
        <is>
          <t>Years held</t>
        </is>
      </c>
      <c r="B7">
        <f>IF($B$6="","",ROUND($B$6/12,1))</f>
        <v/>
      </c>
      <c r="D7" s="3" t="inlineStr">
        <is>
          <t>Remaining - statement credits only</t>
        </is>
      </c>
      <c r="E7" s="4">
        <f>MAX(0,$H$4-$E$3)</f>
        <v/>
      </c>
    </row>
    <row r="8">
      <c r="A8" s="3" t="inlineStr">
        <is>
          <t>Annual fee (USD)</t>
        </is>
      </c>
      <c r="B8" s="4" t="n"/>
      <c r="D8" s="3" t="inlineStr">
        <is>
          <t>Net benefit - statement credits</t>
        </is>
      </c>
      <c r="E8" s="5">
        <f>$E$3-$B$12</f>
        <v/>
      </c>
    </row>
    <row r="9">
      <c r="A9" s="3" t="inlineStr">
        <is>
          <t>First-year AF waived?</t>
        </is>
      </c>
      <c r="D9" s="3" t="inlineStr">
        <is>
          <t>Net benefit - incl. estimated</t>
        </is>
      </c>
      <c r="E9" s="4">
        <f>$E$4-$B$12</f>
        <v/>
      </c>
    </row>
    <row r="10">
      <c r="A10" s="3" t="inlineStr">
        <is>
          <t>AF posting date (current cycle)</t>
        </is>
      </c>
      <c r="B10" s="2" t="n"/>
      <c r="D10" s="3" t="inlineStr">
        <is>
          <t>Result</t>
        </is>
      </c>
      <c r="E10">
        <f>IF($E$8&gt;=0,"POSITIVE","NEGATIVE")</f>
        <v/>
      </c>
    </row>
    <row r="11">
      <c r="A11" s="3" t="inlineStr">
        <is>
          <t>Authorized user AF (total, USD)</t>
        </is>
      </c>
      <c r="B11" s="4" t="n"/>
      <c r="D11" s="3" t="inlineStr">
        <is>
          <t>AF breakeven gap</t>
        </is>
      </c>
      <c r="E11" s="4">
        <f>MAX(0,-$E$8)</f>
        <v/>
      </c>
    </row>
    <row r="12">
      <c r="A12" s="3" t="inlineStr">
        <is>
          <t>Total AF charged (this cycle)</t>
        </is>
      </c>
      <c r="B12" s="4">
        <f>IF($B$9="y",0,$B$8)+$B$11</f>
        <v/>
      </c>
      <c r="D12" s="3" t="inlineStr">
        <is>
          <t>Credit utilization %</t>
        </is>
      </c>
      <c r="E12" s="6">
        <f>IF($E$5=0,"",$E$4/$E$5)</f>
        <v/>
      </c>
    </row>
    <row r="13">
      <c r="A13" s="3" t="inlineStr">
        <is>
          <t>Next AF date (projected)</t>
        </is>
      </c>
      <c r="B13" s="2">
        <f>EDATE($B$10,12)</f>
        <v/>
      </c>
      <c r="D13" s="3" t="inlineStr">
        <is>
          <t>Credits at risk (unused, &lt;=30 days left)</t>
        </is>
      </c>
      <c r="E13">
        <f>SUMPRODUCT(($Y$21:$Y$22&gt;=0)*($Y$21:$Y$22&lt;=30))+SUMPRODUCT(($Y$27:$Y$27&gt;=0)*($Y$27:$Y$27&lt;=30))+SUMPRODUCT(($Y$32:$Y$32&gt;=0)*($Y$32:$Y$32&lt;=30))+SUMPRODUCT(($Y$37:$Y$37&gt;=0)*($Y$37:$Y$37&lt;=30))</f>
        <v/>
      </c>
    </row>
    <row r="14">
      <c r="A14" s="3" t="inlineStr">
        <is>
          <t>Cardmember year start (current cycle)</t>
        </is>
      </c>
      <c r="B14" s="2">
        <f>IFERROR(EDATE($B$10,12*DATEDIF($B$10,TODAY(),"y")),"")</f>
        <v/>
      </c>
      <c r="D14" s="3" t="inlineStr">
        <is>
          <t>Nearest expiry (days)</t>
        </is>
      </c>
      <c r="E14">
        <f>IF($H$3&gt;=9999,"",$H$3)</f>
        <v/>
      </c>
    </row>
    <row r="15">
      <c r="D15" s="3" t="inlineStr">
        <is>
          <t>Amounts you entered (cells)</t>
        </is>
      </c>
      <c r="E15">
        <f>COUNT(L21:W22)+COUNT(L27:W27)+COUNT(L32:W32)+COUNT(L37:W37)+COUNTIF($I$42:$I$42,"&gt;0")+COUNTIF($I$47:$I$47,"&gt;0")</f>
        <v/>
      </c>
    </row>
    <row r="16">
      <c r="D16" s="3" t="inlineStr">
        <is>
          <t>Entered total before capping</t>
        </is>
      </c>
      <c r="E16" s="4">
        <f>SUM(L21:W22)+SUM(L27:W27)+SUM(L32:W32)+SUM(L37:W37)+SUM($J$42:$J$42)+SUM($J$47:$J$47)</f>
        <v/>
      </c>
    </row>
    <row r="17">
      <c r="A17" s="13" t="inlineStr">
        <is>
          <t>WHERE TO TYPE: put the amount you used into the month column of that row. SC rows are real statement credits and drive your net benefit. EST rows are values you set yourself (baggage fees saved) and only count in the 'incl. estimated' totals. 'Amounts you entered' above counts how many month cells you have filled in.</t>
        </is>
      </c>
    </row>
    <row r="19" ht="20" customHeight="1">
      <c r="A19" s="14" t="inlineStr">
        <is>
          <t>SECTION 1 · STATEMENT CREDITS (SC) · real money on your statement. NET BENEFIT COMES FROM HERE. Type the amount you used into the month column.</t>
        </is>
      </c>
    </row>
    <row r="20">
      <c r="A20" s="7" t="inlineStr">
        <is>
          <t>Benefit</t>
        </is>
      </c>
      <c r="B20" s="7" t="inlineStr">
        <is>
          <t>Basis</t>
        </is>
      </c>
      <c r="C20" s="7" t="inlineStr">
        <is>
          <t>Cycle</t>
        </is>
      </c>
      <c r="D20" s="7" t="inlineStr">
        <is>
          <t>Value/cycle</t>
        </is>
      </c>
      <c r="E20" s="7" t="inlineStr">
        <is>
          <t>Cyc/yr</t>
        </is>
      </c>
      <c r="F20" s="7" t="inlineStr">
        <is>
          <t>Max annual</t>
        </is>
      </c>
      <c r="G20" s="7" t="inlineStr">
        <is>
          <t>Used</t>
        </is>
      </c>
      <c r="H20" s="7" t="inlineStr">
        <is>
          <t>Remaining</t>
        </is>
      </c>
      <c r="I20" s="7" t="inlineStr">
        <is>
          <t>Uses</t>
        </is>
      </c>
      <c r="J20" s="7" t="inlineStr">
        <is>
          <t>Cycle end</t>
        </is>
      </c>
      <c r="K20" s="7" t="inlineStr">
        <is>
          <t>Days left</t>
        </is>
      </c>
      <c r="L20" s="7">
        <f>INDEX('Ref'!$J$3:$J$14,COLUMN()-11)</f>
        <v/>
      </c>
      <c r="M20" s="7">
        <f>INDEX('Ref'!$J$3:$J$14,COLUMN()-11)</f>
        <v/>
      </c>
      <c r="N20" s="7">
        <f>INDEX('Ref'!$J$3:$J$14,COLUMN()-11)</f>
        <v/>
      </c>
      <c r="O20" s="7">
        <f>INDEX('Ref'!$J$3:$J$14,COLUMN()-11)</f>
        <v/>
      </c>
      <c r="P20" s="7">
        <f>INDEX('Ref'!$J$3:$J$14,COLUMN()-11)</f>
        <v/>
      </c>
      <c r="Q20" s="7">
        <f>INDEX('Ref'!$J$3:$J$14,COLUMN()-11)</f>
        <v/>
      </c>
      <c r="R20" s="7">
        <f>INDEX('Ref'!$J$3:$J$14,COLUMN()-11)</f>
        <v/>
      </c>
      <c r="S20" s="7">
        <f>INDEX('Ref'!$J$3:$J$14,COLUMN()-11)</f>
        <v/>
      </c>
      <c r="T20" s="7">
        <f>INDEX('Ref'!$J$3:$J$14,COLUMN()-11)</f>
        <v/>
      </c>
      <c r="U20" s="7">
        <f>INDEX('Ref'!$J$3:$J$14,COLUMN()-11)</f>
        <v/>
      </c>
      <c r="V20" s="7">
        <f>INDEX('Ref'!$J$3:$J$14,COLUMN()-11)</f>
        <v/>
      </c>
      <c r="W20" s="7">
        <f>INDEX('Ref'!$J$3:$J$14,COLUMN()-11)</f>
        <v/>
      </c>
      <c r="Z20" s="15" t="inlineStr">
        <is>
          <t>Notes / source</t>
        </is>
      </c>
    </row>
    <row r="21">
      <c r="A21" t="inlineStr">
        <is>
          <t>(example) Monthly credit</t>
        </is>
      </c>
      <c r="B21" t="inlineStr">
        <is>
          <t>SC</t>
        </is>
      </c>
      <c r="C21" t="inlineStr">
        <is>
          <t>MONTHLY</t>
        </is>
      </c>
      <c r="D21" s="4" t="n">
        <v>10</v>
      </c>
      <c r="E21">
        <f>IF($C21="MONTHLY",12,IF($C21="QUARTERLY",4,IF($C21="SEMI-ANNUAL",2,IF($C21="CALENDAR-YEAR",1,""))))</f>
        <v/>
      </c>
      <c r="F21" s="4">
        <f>IF(OR($D21="",$E21=""),"",$D21*$E21)</f>
        <v/>
      </c>
      <c r="G21" s="4">
        <f>IF($D21="","",IF(ISNUMBER($F21),MIN($X21,$F21),$X21))</f>
        <v/>
      </c>
      <c r="H21" s="4">
        <f>IF($F21="","",MAX(0,$F21-$G21))</f>
        <v/>
      </c>
      <c r="I21">
        <f>SUMPRODUCT(ISNUMBER($L21:$W21)*($L21:$W21&gt;0))</f>
        <v/>
      </c>
      <c r="J21">
        <f>IF($C21="MONTHLY",EOMONTH(TODAY(),0),IF($C21="QUARTERLY",EOMONTH(DATE('Ref'!$B$1,ROUNDUP(MONTH(TODAY())/3,0)*3,1),0),IF($C21="SEMI-ANNUAL",IF(MONTH(TODAY())&lt;=6,DATE('Ref'!$B$1,6,30),DATE('Ref'!$B$1,12,31)),DATE('Ref'!$B$1,12,31))))</f>
        <v/>
      </c>
      <c r="K21">
        <f>IFERROR($J21-TODAY(),"")</f>
        <v/>
      </c>
      <c r="X21">
        <f>IF($D21="",SUM($L21:$W21),SUM($L21:$W21)-SUMIF($L21:$W21,"&gt;"&amp;$D21)+(COUNT($L21:$W21)-COUNTIF($L21:$W21,"&lt;="&amp;$D21))*$D21)</f>
        <v/>
      </c>
      <c r="Y21">
        <f>IF(AND(ISNUMBER($H21),$H21&gt;0,ISNUMBER($K21),$K21&gt;=0),$K21,9999)</f>
        <v/>
      </c>
      <c r="Z21" t="inlineStr">
        <is>
          <t>Replace or delete this row</t>
        </is>
      </c>
    </row>
    <row r="22">
      <c r="A22" t="inlineStr">
        <is>
          <t>(example) Annual statement credit</t>
        </is>
      </c>
      <c r="B22" t="inlineStr">
        <is>
          <t>SC</t>
        </is>
      </c>
      <c r="C22" t="inlineStr">
        <is>
          <t>CALENDAR-YEAR</t>
        </is>
      </c>
      <c r="D22" s="4" t="n">
        <v>100</v>
      </c>
      <c r="E22">
        <f>IF($C22="MONTHLY",12,IF($C22="QUARTERLY",4,IF($C22="SEMI-ANNUAL",2,IF($C22="CALENDAR-YEAR",1,""))))</f>
        <v/>
      </c>
      <c r="F22" s="4">
        <f>IF(OR($D22="",$E22=""),"",$D22*$E22)</f>
        <v/>
      </c>
      <c r="G22" s="4">
        <f>IF($D22="","",IF(ISNUMBER($F22),MIN($X22,$F22),$X22))</f>
        <v/>
      </c>
      <c r="H22" s="4">
        <f>IF($F22="","",MAX(0,$F22-$G22))</f>
        <v/>
      </c>
      <c r="I22">
        <f>SUMPRODUCT(ISNUMBER($L22:$W22)*($L22:$W22&gt;0))</f>
        <v/>
      </c>
      <c r="J22">
        <f>IF($C22="MONTHLY",EOMONTH(TODAY(),0),IF($C22="QUARTERLY",EOMONTH(DATE('Ref'!$B$1,ROUNDUP(MONTH(TODAY())/3,0)*3,1),0),IF($C22="SEMI-ANNUAL",IF(MONTH(TODAY())&lt;=6,DATE('Ref'!$B$1,6,30),DATE('Ref'!$B$1,12,31)),DATE('Ref'!$B$1,12,31))))</f>
        <v/>
      </c>
      <c r="K22">
        <f>IFERROR($J22-TODAY(),"")</f>
        <v/>
      </c>
      <c r="X22">
        <f>IF($D22="",SUM($L22:$W22),SUM($L22:$W22)-SUMIF($L22:$W22,"&gt;"&amp;$D22)+(COUNT($L22:$W22)-COUNTIF($L22:$W22,"&lt;="&amp;$D22))*$D22)</f>
        <v/>
      </c>
      <c r="Y22">
        <f>IF(AND(ISNUMBER($H22),$H22&gt;0,ISNUMBER($K22),$K22&gt;=0),$K22,9999)</f>
        <v/>
      </c>
      <c r="Z22" t="inlineStr">
        <is>
          <t>Replace or delete this row</t>
        </is>
      </c>
    </row>
    <row r="23">
      <c r="A23" s="9" t="inlineStr">
        <is>
          <t>Subtotal - Section 1</t>
        </is>
      </c>
      <c r="F23" s="10">
        <f>SUM($F$21:$F$22)</f>
        <v/>
      </c>
      <c r="G23" s="10">
        <f>SUM($G$21:$G$22)</f>
        <v/>
      </c>
      <c r="H23" s="10">
        <f>SUM($H$21:$H$22)</f>
        <v/>
      </c>
      <c r="I23" s="10">
        <f>SUM($I$21:$I$22)</f>
        <v/>
      </c>
    </row>
    <row r="25" ht="20" customHeight="1">
      <c r="A25" s="14" t="inlineStr">
        <is>
          <t>SECTION 1b · STATEMENT CREDITS (SC) THAT RESET ON YOUR CARD ANNIVERSARY · the month columns follow YOUR anniversary month, not January. NET BENEFIT COMES FROM HERE.</t>
        </is>
      </c>
    </row>
    <row r="26">
      <c r="A26" s="7" t="inlineStr">
        <is>
          <t>Benefit</t>
        </is>
      </c>
      <c r="B26" s="7" t="inlineStr">
        <is>
          <t>Basis</t>
        </is>
      </c>
      <c r="C26" s="7" t="inlineStr">
        <is>
          <t>Cycle</t>
        </is>
      </c>
      <c r="D26" s="7" t="inlineStr">
        <is>
          <t>Value/cycle</t>
        </is>
      </c>
      <c r="E26" s="7" t="inlineStr">
        <is>
          <t>Cyc/yr</t>
        </is>
      </c>
      <c r="F26" s="7" t="inlineStr">
        <is>
          <t>Max annual</t>
        </is>
      </c>
      <c r="G26" s="7" t="inlineStr">
        <is>
          <t>Used</t>
        </is>
      </c>
      <c r="H26" s="7" t="inlineStr">
        <is>
          <t>Remaining</t>
        </is>
      </c>
      <c r="I26" s="7" t="inlineStr">
        <is>
          <t>Uses</t>
        </is>
      </c>
      <c r="J26" s="7" t="inlineStr">
        <is>
          <t>Cycle end</t>
        </is>
      </c>
      <c r="K26" s="7" t="inlineStr">
        <is>
          <t>Days left</t>
        </is>
      </c>
      <c r="L26" s="7">
        <f>IFERROR(INDEX('Ref'!$J$3:$J$14,MONTH(EDATE($B$14,0)))&amp;"-"&amp;TEXT(EDATE($B$14,0),"yy"),"")</f>
        <v/>
      </c>
      <c r="M26" s="7">
        <f>IFERROR(INDEX('Ref'!$J$3:$J$14,MONTH(EDATE($B$14,1)))&amp;"-"&amp;TEXT(EDATE($B$14,1),"yy"),"")</f>
        <v/>
      </c>
      <c r="N26" s="7">
        <f>IFERROR(INDEX('Ref'!$J$3:$J$14,MONTH(EDATE($B$14,2)))&amp;"-"&amp;TEXT(EDATE($B$14,2),"yy"),"")</f>
        <v/>
      </c>
      <c r="O26" s="7">
        <f>IFERROR(INDEX('Ref'!$J$3:$J$14,MONTH(EDATE($B$14,3)))&amp;"-"&amp;TEXT(EDATE($B$14,3),"yy"),"")</f>
        <v/>
      </c>
      <c r="P26" s="7">
        <f>IFERROR(INDEX('Ref'!$J$3:$J$14,MONTH(EDATE($B$14,4)))&amp;"-"&amp;TEXT(EDATE($B$14,4),"yy"),"")</f>
        <v/>
      </c>
      <c r="Q26" s="7">
        <f>IFERROR(INDEX('Ref'!$J$3:$J$14,MONTH(EDATE($B$14,5)))&amp;"-"&amp;TEXT(EDATE($B$14,5),"yy"),"")</f>
        <v/>
      </c>
      <c r="R26" s="7">
        <f>IFERROR(INDEX('Ref'!$J$3:$J$14,MONTH(EDATE($B$14,6)))&amp;"-"&amp;TEXT(EDATE($B$14,6),"yy"),"")</f>
        <v/>
      </c>
      <c r="S26" s="7">
        <f>IFERROR(INDEX('Ref'!$J$3:$J$14,MONTH(EDATE($B$14,7)))&amp;"-"&amp;TEXT(EDATE($B$14,7),"yy"),"")</f>
        <v/>
      </c>
      <c r="T26" s="7">
        <f>IFERROR(INDEX('Ref'!$J$3:$J$14,MONTH(EDATE($B$14,8)))&amp;"-"&amp;TEXT(EDATE($B$14,8),"yy"),"")</f>
        <v/>
      </c>
      <c r="U26" s="7">
        <f>IFERROR(INDEX('Ref'!$J$3:$J$14,MONTH(EDATE($B$14,9)))&amp;"-"&amp;TEXT(EDATE($B$14,9),"yy"),"")</f>
        <v/>
      </c>
      <c r="V26" s="7">
        <f>IFERROR(INDEX('Ref'!$J$3:$J$14,MONTH(EDATE($B$14,10)))&amp;"-"&amp;TEXT(EDATE($B$14,10),"yy"),"")</f>
        <v/>
      </c>
      <c r="W26" s="7">
        <f>IFERROR(INDEX('Ref'!$J$3:$J$14,MONTH(EDATE($B$14,11)))&amp;"-"&amp;TEXT(EDATE($B$14,11),"yy"),"")</f>
        <v/>
      </c>
      <c r="Z26" s="15" t="inlineStr">
        <is>
          <t>Notes / source</t>
        </is>
      </c>
    </row>
    <row r="27">
      <c r="A27" t="inlineStr">
        <is>
          <t>(example) Credit that resets on your card anniversary</t>
        </is>
      </c>
      <c r="B27" t="inlineStr">
        <is>
          <t>SC</t>
        </is>
      </c>
      <c r="C27" t="inlineStr">
        <is>
          <t>CARDMEMBER-YEAR</t>
        </is>
      </c>
      <c r="D27" s="4" t="n">
        <v>100</v>
      </c>
      <c r="E27" t="n">
        <v>1</v>
      </c>
      <c r="F27" s="4">
        <f>IF($D27="","",$D27)</f>
        <v/>
      </c>
      <c r="G27" s="4">
        <f>IF($D27="","",IF(ISNUMBER($F27),MIN($X27,$F27),$X27))</f>
        <v/>
      </c>
      <c r="H27" s="4">
        <f>IF($F27="","",MAX(0,$F27-$G27))</f>
        <v/>
      </c>
      <c r="I27">
        <f>SUMPRODUCT(ISNUMBER($L27:$W27)*($L27:$W27&gt;0))</f>
        <v/>
      </c>
      <c r="J27">
        <f>IFERROR(EDATE($B$14,12)-1,"")</f>
        <v/>
      </c>
      <c r="K27">
        <f>IFERROR($J27-TODAY(),"")</f>
        <v/>
      </c>
      <c r="X27">
        <f>IF($D27="",SUM($L27:$W27),SUM($L27:$W27)-SUMIF($L27:$W27,"&gt;"&amp;$D27)+(COUNT($L27:$W27)-COUNTIF($L27:$W27,"&lt;="&amp;$D27))*$D27)</f>
        <v/>
      </c>
      <c r="Y27">
        <f>IF(AND(ISNUMBER($H27),$H27&gt;0,ISNUMBER($K27),$K27&gt;=0),$K27,9999)</f>
        <v/>
      </c>
      <c r="Z27" t="inlineStr">
        <is>
          <t>Lives in the anniversary section; the month columns follow B14</t>
        </is>
      </c>
    </row>
    <row r="28">
      <c r="A28" s="9" t="inlineStr">
        <is>
          <t>Subtotal - Section 1b</t>
        </is>
      </c>
      <c r="F28" s="10">
        <f>SUM($F$27:$F$27)</f>
        <v/>
      </c>
      <c r="G28" s="10">
        <f>SUM($G$27:$G$27)</f>
        <v/>
      </c>
      <c r="H28" s="10">
        <f>SUM($H$27:$H$27)</f>
        <v/>
      </c>
      <c r="I28" s="10">
        <f>SUM($I$27:$I$27)</f>
        <v/>
      </c>
    </row>
    <row r="30" ht="20" customHeight="1">
      <c r="A30" s="16" t="inlineStr">
        <is>
          <t>SECTION 2 · ESTIMATED SAVINGS (EST) · Counts only in the 'incl. estimated' totals.</t>
        </is>
      </c>
    </row>
    <row r="31">
      <c r="A31" s="7" t="inlineStr">
        <is>
          <t>Benefit</t>
        </is>
      </c>
      <c r="B31" s="7" t="inlineStr">
        <is>
          <t>Basis</t>
        </is>
      </c>
      <c r="C31" s="7" t="inlineStr">
        <is>
          <t>Cycle</t>
        </is>
      </c>
      <c r="D31" s="7" t="inlineStr">
        <is>
          <t>Value/cycle</t>
        </is>
      </c>
      <c r="E31" s="7" t="inlineStr">
        <is>
          <t>Cyc/yr</t>
        </is>
      </c>
      <c r="F31" s="7" t="inlineStr">
        <is>
          <t>Max annual</t>
        </is>
      </c>
      <c r="G31" s="7" t="inlineStr">
        <is>
          <t>Used</t>
        </is>
      </c>
      <c r="H31" s="7" t="inlineStr">
        <is>
          <t>Remaining</t>
        </is>
      </c>
      <c r="I31" s="7" t="inlineStr">
        <is>
          <t>Uses</t>
        </is>
      </c>
      <c r="J31" s="7" t="inlineStr">
        <is>
          <t>Cycle end</t>
        </is>
      </c>
      <c r="K31" s="7" t="inlineStr">
        <is>
          <t>Days left</t>
        </is>
      </c>
      <c r="L31" s="7">
        <f>INDEX('Ref'!$J$3:$J$14,COLUMN()-11)</f>
        <v/>
      </c>
      <c r="M31" s="7">
        <f>INDEX('Ref'!$J$3:$J$14,COLUMN()-11)</f>
        <v/>
      </c>
      <c r="N31" s="7">
        <f>INDEX('Ref'!$J$3:$J$14,COLUMN()-11)</f>
        <v/>
      </c>
      <c r="O31" s="7">
        <f>INDEX('Ref'!$J$3:$J$14,COLUMN()-11)</f>
        <v/>
      </c>
      <c r="P31" s="7">
        <f>INDEX('Ref'!$J$3:$J$14,COLUMN()-11)</f>
        <v/>
      </c>
      <c r="Q31" s="7">
        <f>INDEX('Ref'!$J$3:$J$14,COLUMN()-11)</f>
        <v/>
      </c>
      <c r="R31" s="7">
        <f>INDEX('Ref'!$J$3:$J$14,COLUMN()-11)</f>
        <v/>
      </c>
      <c r="S31" s="7">
        <f>INDEX('Ref'!$J$3:$J$14,COLUMN()-11)</f>
        <v/>
      </c>
      <c r="T31" s="7">
        <f>INDEX('Ref'!$J$3:$J$14,COLUMN()-11)</f>
        <v/>
      </c>
      <c r="U31" s="7">
        <f>INDEX('Ref'!$J$3:$J$14,COLUMN()-11)</f>
        <v/>
      </c>
      <c r="V31" s="7">
        <f>INDEX('Ref'!$J$3:$J$14,COLUMN()-11)</f>
        <v/>
      </c>
      <c r="W31" s="7">
        <f>INDEX('Ref'!$J$3:$J$14,COLUMN()-11)</f>
        <v/>
      </c>
      <c r="Z31" s="15" t="inlineStr">
        <is>
          <t>Notes / source</t>
        </is>
      </c>
    </row>
    <row r="32">
      <c r="A32" t="inlineStr">
        <is>
          <t>(example) Estimated perk value</t>
        </is>
      </c>
      <c r="B32" t="inlineStr">
        <is>
          <t>EST</t>
        </is>
      </c>
      <c r="C32" t="inlineStr">
        <is>
          <t>CALENDAR-YEAR</t>
        </is>
      </c>
      <c r="D32" s="4" t="n"/>
      <c r="E32">
        <f>IF($C32="MONTHLY",12,IF($C32="QUARTERLY",4,IF($C32="SEMI-ANNUAL",2,IF($C32="CALENDAR-YEAR",1,""))))</f>
        <v/>
      </c>
      <c r="F32" s="4">
        <f>IF(OR($D32="",$E32=""),"",$D32*$E32)</f>
        <v/>
      </c>
      <c r="G32" s="4">
        <f>IF($D32="","",IF(ISNUMBER($F32),MIN($X32,$F32),$X32))</f>
        <v/>
      </c>
      <c r="H32" s="4">
        <f>IF($F32="","",MAX(0,$F32-$G32))</f>
        <v/>
      </c>
      <c r="I32">
        <f>SUMPRODUCT(ISNUMBER($L32:$W32)*($L32:$W32&gt;0))</f>
        <v/>
      </c>
      <c r="J32">
        <f>IF($C32="MONTHLY",EOMONTH(TODAY(),0),IF($C32="QUARTERLY",EOMONTH(DATE('Ref'!$B$1,ROUNDUP(MONTH(TODAY())/3,0)*3,1),0),IF($C32="SEMI-ANNUAL",IF(MONTH(TODAY())&lt;=6,DATE('Ref'!$B$1,6,30),DATE('Ref'!$B$1,12,31)),DATE('Ref'!$B$1,12,31))))</f>
        <v/>
      </c>
      <c r="K32">
        <f>IFERROR($J32-TODAY(),"")</f>
        <v/>
      </c>
      <c r="X32">
        <f>IF($D32="",SUM($L32:$W32),SUM($L32:$W32)-SUMIF($L32:$W32,"&gt;"&amp;$D32)+(COUNT($L32:$W32)-COUNTIF($L32:$W32,"&lt;="&amp;$D32))*$D32)</f>
        <v/>
      </c>
      <c r="Y32">
        <f>IF(AND(ISNUMBER($H32),$H32&gt;0,ISNUMBER($K32),$K32&gt;=0),$K32,9999)</f>
        <v/>
      </c>
      <c r="Z32" t="inlineStr">
        <is>
          <t>EST rows count only in the incl.-estimated totals</t>
        </is>
      </c>
    </row>
    <row r="33">
      <c r="A33" s="9" t="inlineStr">
        <is>
          <t>Subtotal - Section 2</t>
        </is>
      </c>
      <c r="F33" s="10">
        <f>SUM($F$32:$F$32)</f>
        <v/>
      </c>
      <c r="G33" s="10">
        <f>SUM($G$32:$G$32)</f>
        <v/>
      </c>
      <c r="H33" s="10">
        <f>SUM($H$32:$H$32)</f>
        <v/>
      </c>
      <c r="I33" s="10">
        <f>SUM($I$32:$I$32)</f>
        <v/>
      </c>
    </row>
    <row r="35" ht="20" customHeight="1">
      <c r="A35" s="18" t="inlineStr">
        <is>
          <t>SECTION 3 · ACCESS PERKS (no dollar value) · A number typed here logs a USE only and never adds dollars.</t>
        </is>
      </c>
    </row>
    <row r="36">
      <c r="A36" s="7" t="inlineStr">
        <is>
          <t>Benefit</t>
        </is>
      </c>
      <c r="B36" s="7" t="inlineStr">
        <is>
          <t>Basis</t>
        </is>
      </c>
      <c r="C36" s="7" t="inlineStr">
        <is>
          <t>Cycle</t>
        </is>
      </c>
      <c r="D36" s="7" t="inlineStr">
        <is>
          <t>Value/cycle</t>
        </is>
      </c>
      <c r="E36" s="7" t="inlineStr">
        <is>
          <t>Cyc/yr</t>
        </is>
      </c>
      <c r="F36" s="7" t="inlineStr">
        <is>
          <t>Max annual</t>
        </is>
      </c>
      <c r="G36" s="7" t="inlineStr">
        <is>
          <t>Used</t>
        </is>
      </c>
      <c r="H36" s="7" t="inlineStr">
        <is>
          <t>Remaining</t>
        </is>
      </c>
      <c r="I36" s="7" t="inlineStr">
        <is>
          <t>Uses</t>
        </is>
      </c>
      <c r="J36" s="7" t="inlineStr">
        <is>
          <t>Cycle end</t>
        </is>
      </c>
      <c r="K36" s="7" t="inlineStr">
        <is>
          <t>Days left</t>
        </is>
      </c>
      <c r="L36" s="7">
        <f>INDEX('Ref'!$J$3:$J$14,COLUMN()-11)</f>
        <v/>
      </c>
      <c r="M36" s="7">
        <f>INDEX('Ref'!$J$3:$J$14,COLUMN()-11)</f>
        <v/>
      </c>
      <c r="N36" s="7">
        <f>INDEX('Ref'!$J$3:$J$14,COLUMN()-11)</f>
        <v/>
      </c>
      <c r="O36" s="7">
        <f>INDEX('Ref'!$J$3:$J$14,COLUMN()-11)</f>
        <v/>
      </c>
      <c r="P36" s="7">
        <f>INDEX('Ref'!$J$3:$J$14,COLUMN()-11)</f>
        <v/>
      </c>
      <c r="Q36" s="7">
        <f>INDEX('Ref'!$J$3:$J$14,COLUMN()-11)</f>
        <v/>
      </c>
      <c r="R36" s="7">
        <f>INDEX('Ref'!$J$3:$J$14,COLUMN()-11)</f>
        <v/>
      </c>
      <c r="S36" s="7">
        <f>INDEX('Ref'!$J$3:$J$14,COLUMN()-11)</f>
        <v/>
      </c>
      <c r="T36" s="7">
        <f>INDEX('Ref'!$J$3:$J$14,COLUMN()-11)</f>
        <v/>
      </c>
      <c r="U36" s="7">
        <f>INDEX('Ref'!$J$3:$J$14,COLUMN()-11)</f>
        <v/>
      </c>
      <c r="V36" s="7">
        <f>INDEX('Ref'!$J$3:$J$14,COLUMN()-11)</f>
        <v/>
      </c>
      <c r="W36" s="7">
        <f>INDEX('Ref'!$J$3:$J$14,COLUMN()-11)</f>
        <v/>
      </c>
      <c r="Z36" s="15" t="inlineStr">
        <is>
          <t>Notes / source</t>
        </is>
      </c>
    </row>
    <row r="37">
      <c r="A37" t="inlineStr">
        <is>
          <t>(example) Free checked bag</t>
        </is>
      </c>
      <c r="B37" t="inlineStr">
        <is>
          <t>ACCESS</t>
        </is>
      </c>
      <c r="C37" t="inlineStr">
        <is>
          <t>MONTHLY</t>
        </is>
      </c>
      <c r="D37" s="4" t="n"/>
      <c r="E37">
        <f>IF($C37="MONTHLY",12,IF($C37="QUARTERLY",4,IF($C37="SEMI-ANNUAL",2,IF($C37="CALENDAR-YEAR",1,""))))</f>
        <v/>
      </c>
      <c r="F37" s="4">
        <f>IF(OR($D37="",$E37=""),"",$D37*$E37)</f>
        <v/>
      </c>
      <c r="G37" s="4">
        <f>IF($D37="","",IF(ISNUMBER($F37),MIN($X37,$F37),$X37))</f>
        <v/>
      </c>
      <c r="H37" s="4">
        <f>IF($F37="","",MAX(0,$F37-$G37))</f>
        <v/>
      </c>
      <c r="I37">
        <f>SUMPRODUCT(ISNUMBER($L37:$W37)*($L37:$W37&gt;0))</f>
        <v/>
      </c>
      <c r="J37">
        <f>IF($C37="MONTHLY",EOMONTH(TODAY(),0),IF($C37="QUARTERLY",EOMONTH(DATE('Ref'!$B$1,ROUNDUP(MONTH(TODAY())/3,0)*3,1),0),IF($C37="SEMI-ANNUAL",IF(MONTH(TODAY())&lt;=6,DATE('Ref'!$B$1,6,30),DATE('Ref'!$B$1,12,31)),DATE('Ref'!$B$1,12,31))))</f>
        <v/>
      </c>
      <c r="K37">
        <f>IFERROR($J37-TODAY(),"")</f>
        <v/>
      </c>
      <c r="X37">
        <f>IF($D37="",SUM($L37:$W37),SUM($L37:$W37)-SUMIF($L37:$W37,"&gt;"&amp;$D37)+(COUNT($L37:$W37)-COUNTIF($L37:$W37,"&lt;="&amp;$D37))*$D37)</f>
        <v/>
      </c>
      <c r="Y37">
        <f>IF(AND(ISNUMBER($H37),$H37&gt;0,ISNUMBER($K37),$K37&gt;=0),$K37,9999)</f>
        <v/>
      </c>
      <c r="Z37" t="inlineStr">
        <is>
          <t>ACCESS: a number here logs a use, never dollars</t>
        </is>
      </c>
    </row>
    <row r="38">
      <c r="A38" s="9" t="inlineStr">
        <is>
          <t>Subtotal - Section 3</t>
        </is>
      </c>
      <c r="F38" s="10">
        <f>SUM($F$37:$F$37)</f>
        <v/>
      </c>
      <c r="G38" s="10">
        <f>SUM($G$37:$G$37)</f>
        <v/>
      </c>
      <c r="H38" s="10">
        <f>SUM($H$37:$H$37)</f>
        <v/>
      </c>
      <c r="I38" s="10">
        <f>SUM($I$37:$I$37)</f>
        <v/>
      </c>
    </row>
    <row r="40" ht="20" customHeight="1">
      <c r="A40" s="17" t="inlineStr">
        <is>
          <t>SECTION 4 · ONE-TIME / EVERY-N-YEARS ITEMS (SC) · no month grid - enter the amount in the 'Used?' column.</t>
        </is>
      </c>
    </row>
    <row r="41">
      <c r="A41" s="7" t="inlineStr">
        <is>
          <t>Benefit</t>
        </is>
      </c>
      <c r="B41" s="7" t="inlineStr">
        <is>
          <t>Basis</t>
        </is>
      </c>
      <c r="C41" s="7" t="inlineStr">
        <is>
          <t>Cycle</t>
        </is>
      </c>
      <c r="D41" s="7" t="inlineStr">
        <is>
          <t>Value</t>
        </is>
      </c>
      <c r="E41" s="7" t="inlineStr">
        <is>
          <t>Yrs/cycle</t>
        </is>
      </c>
      <c r="F41" s="7" t="inlineStr">
        <is>
          <t>Annualized</t>
        </is>
      </c>
      <c r="G41" s="7" t="inlineStr">
        <is>
          <t>Date used</t>
        </is>
      </c>
      <c r="H41" s="7" t="inlineStr">
        <is>
          <t>Expiry / next eligible</t>
        </is>
      </c>
      <c r="I41" s="7" t="inlineStr">
        <is>
          <t>Used? (amount or y)</t>
        </is>
      </c>
      <c r="J41" s="7" t="inlineStr">
        <is>
          <t>Value captured</t>
        </is>
      </c>
      <c r="K41" s="7" t="inlineStr">
        <is>
          <t>Notes</t>
        </is>
      </c>
    </row>
    <row r="42">
      <c r="A42" t="inlineStr">
        <is>
          <t>(example) Global Entry / TSA credit</t>
        </is>
      </c>
      <c r="B42" t="inlineStr">
        <is>
          <t>SC</t>
        </is>
      </c>
      <c r="C42" t="inlineStr">
        <is>
          <t>MULTI-YEAR</t>
        </is>
      </c>
      <c r="D42" s="4" t="n">
        <v>120</v>
      </c>
      <c r="E42" t="n">
        <v>4</v>
      </c>
      <c r="F42" s="4">
        <f>IF(AND(ISNUMBER($D42),ISNUMBER($E42)),$D42/$E42,0)</f>
        <v/>
      </c>
      <c r="J42" s="4">
        <f>IF($I42="y",$D42,IF(ISNUMBER($I42),MIN($I42,$D42),0))</f>
        <v/>
      </c>
      <c r="K42" t="inlineStr">
        <is>
          <t>Every 4 years</t>
        </is>
      </c>
    </row>
    <row r="43">
      <c r="A43" s="9" t="inlineStr">
        <is>
          <t>Subtotal - Section 4</t>
        </is>
      </c>
      <c r="D43" s="10">
        <f>SUM($D$42:$D$42)</f>
        <v/>
      </c>
      <c r="F43" s="10">
        <f>SUM($F$42:$F$42)</f>
        <v/>
      </c>
      <c r="J43" s="10">
        <f>SUM($J$42:$J$42)</f>
        <v/>
      </c>
    </row>
    <row r="45" ht="20" customHeight="1">
      <c r="A45" s="17" t="inlineStr">
        <is>
          <t>SECTION 4b · ONE-TIME / EVERY-N-YEARS ITEMS (EST) · no month grid - enter the amount in the 'Used?' column.</t>
        </is>
      </c>
    </row>
    <row r="46">
      <c r="A46" s="7" t="inlineStr">
        <is>
          <t>Benefit</t>
        </is>
      </c>
      <c r="B46" s="7" t="inlineStr">
        <is>
          <t>Basis</t>
        </is>
      </c>
      <c r="C46" s="7" t="inlineStr">
        <is>
          <t>Cycle</t>
        </is>
      </c>
      <c r="D46" s="7" t="inlineStr">
        <is>
          <t>Value</t>
        </is>
      </c>
      <c r="E46" s="7" t="inlineStr">
        <is>
          <t>Yrs/cycle</t>
        </is>
      </c>
      <c r="F46" s="7" t="inlineStr">
        <is>
          <t>Annualized</t>
        </is>
      </c>
      <c r="G46" s="7" t="inlineStr">
        <is>
          <t>Date used</t>
        </is>
      </c>
      <c r="H46" s="7" t="inlineStr">
        <is>
          <t>Expiry / next eligible</t>
        </is>
      </c>
      <c r="I46" s="7" t="inlineStr">
        <is>
          <t>Used? (amount or y)</t>
        </is>
      </c>
      <c r="J46" s="7" t="inlineStr">
        <is>
          <t>Value captured</t>
        </is>
      </c>
      <c r="K46" s="7" t="inlineStr">
        <is>
          <t>Notes</t>
        </is>
      </c>
    </row>
    <row r="47">
      <c r="A47" t="inlineStr">
        <is>
          <t>(example) One-off promo credit</t>
        </is>
      </c>
      <c r="B47" t="inlineStr">
        <is>
          <t>EST</t>
        </is>
      </c>
      <c r="C47" t="inlineStr">
        <is>
          <t>ONE-TIME</t>
        </is>
      </c>
      <c r="D47" s="4" t="n">
        <v>50</v>
      </c>
      <c r="E47" t="n">
        <v>1</v>
      </c>
      <c r="F47" s="4">
        <f>IF(AND(ISNUMBER($D47),ISNUMBER($E47)),$D47/$E47,0)</f>
        <v/>
      </c>
      <c r="J47" s="4">
        <f>IF($I47="y",$D47,IF(ISNUMBER($I47),MIN($I47,$D47),0))</f>
        <v/>
      </c>
      <c r="K47" t="inlineStr">
        <is>
          <t>One-time</t>
        </is>
      </c>
    </row>
    <row r="48">
      <c r="A48" s="9" t="inlineStr">
        <is>
          <t>Subtotal - Section 4b</t>
        </is>
      </c>
      <c r="D48" s="10">
        <f>SUM($D$47:$D$47)</f>
        <v/>
      </c>
      <c r="F48" s="10">
        <f>SUM($F$47:$F$47)</f>
        <v/>
      </c>
      <c r="J48" s="10">
        <f>SUM($J$47:$J$47)</f>
        <v/>
      </c>
    </row>
  </sheetData>
  <mergeCells count="7">
    <mergeCell ref="A45:Z45"/>
    <mergeCell ref="A40:Z40"/>
    <mergeCell ref="A35:Z35"/>
    <mergeCell ref="A30:Z30"/>
    <mergeCell ref="A25:Z25"/>
    <mergeCell ref="A17:K17"/>
    <mergeCell ref="A19:Z19"/>
  </mergeCells>
  <conditionalFormatting sqref="L21:W22">
    <cfRule type="expression" priority="1" dxfId="1" stopIfTrue="1">
      <formula>AND(L21&lt;&gt;"",NOT(ISNUMBER(L21)))</formula>
    </cfRule>
    <cfRule type="expression" priority="2" dxfId="6" stopIfTrue="1">
      <formula>AND(ISNUMBER(L21),$D21&gt;0,L21&gt;$D21)</formula>
    </cfRule>
    <cfRule type="expression" priority="3" dxfId="7" stopIfTrue="0">
      <formula>AND($C21="QUARTERLY",COUNTIF($L$21:$N$21,"&gt;0")&gt;1)</formula>
    </cfRule>
    <cfRule type="expression" priority="4" dxfId="7" stopIfTrue="0">
      <formula>AND($C21="QUARTERLY",COUNTIF($O$21:$Q$21,"&gt;0")&gt;1)</formula>
    </cfRule>
    <cfRule type="expression" priority="5" dxfId="7" stopIfTrue="0">
      <formula>AND($C21="QUARTERLY",COUNTIF($R$21:$T$21,"&gt;0")&gt;1)</formula>
    </cfRule>
    <cfRule type="expression" priority="6" dxfId="7" stopIfTrue="0">
      <formula>AND($C21="QUARTERLY",COUNTIF($U$21:$W$21,"&gt;0")&gt;1)</formula>
    </cfRule>
    <cfRule type="expression" priority="7" dxfId="7" stopIfTrue="0">
      <formula>AND($C21="SEMI-ANNUAL",COUNTIF($L$21:$Q$21,"&gt;0")&gt;1)</formula>
    </cfRule>
    <cfRule type="expression" priority="8" dxfId="7" stopIfTrue="0">
      <formula>AND($C21="SEMI-ANNUAL",COUNTIF($R$21:$W$21,"&gt;0")&gt;1)</formula>
    </cfRule>
    <cfRule type="expression" priority="9" dxfId="4" stopIfTrue="0">
      <formula>AND(ISNUMBER(L21),L21&gt;0)</formula>
    </cfRule>
  </conditionalFormatting>
  <conditionalFormatting sqref="L27:W27">
    <cfRule type="expression" priority="10" dxfId="1" stopIfTrue="1">
      <formula>AND(L27&lt;&gt;"",NOT(ISNUMBER(L27)))</formula>
    </cfRule>
    <cfRule type="expression" priority="11" dxfId="6" stopIfTrue="1">
      <formula>AND(ISNUMBER(L27),$D27&gt;0,L27&gt;$D27)</formula>
    </cfRule>
    <cfRule type="expression" priority="12" dxfId="7" stopIfTrue="0">
      <formula>AND($C27="QUARTERLY",COUNTIF($L$27:$N$27,"&gt;0")&gt;1)</formula>
    </cfRule>
    <cfRule type="expression" priority="13" dxfId="7" stopIfTrue="0">
      <formula>AND($C27="QUARTERLY",COUNTIF($O$27:$Q$27,"&gt;0")&gt;1)</formula>
    </cfRule>
    <cfRule type="expression" priority="14" dxfId="7" stopIfTrue="0">
      <formula>AND($C27="QUARTERLY",COUNTIF($R$27:$T$27,"&gt;0")&gt;1)</formula>
    </cfRule>
    <cfRule type="expression" priority="15" dxfId="7" stopIfTrue="0">
      <formula>AND($C27="QUARTERLY",COUNTIF($U$27:$W$27,"&gt;0")&gt;1)</formula>
    </cfRule>
    <cfRule type="expression" priority="16" dxfId="7" stopIfTrue="0">
      <formula>AND($C27="SEMI-ANNUAL",COUNTIF($L$27:$Q$27,"&gt;0")&gt;1)</formula>
    </cfRule>
    <cfRule type="expression" priority="17" dxfId="7" stopIfTrue="0">
      <formula>AND($C27="SEMI-ANNUAL",COUNTIF($R$27:$W$27,"&gt;0")&gt;1)</formula>
    </cfRule>
    <cfRule type="expression" priority="18" dxfId="4" stopIfTrue="0">
      <formula>AND(ISNUMBER(L27),L27&gt;0)</formula>
    </cfRule>
  </conditionalFormatting>
  <conditionalFormatting sqref="L32:W32">
    <cfRule type="expression" priority="19" dxfId="1" stopIfTrue="1">
      <formula>AND(L32&lt;&gt;"",NOT(ISNUMBER(L32)))</formula>
    </cfRule>
    <cfRule type="expression" priority="20" dxfId="6" stopIfTrue="1">
      <formula>AND(ISNUMBER(L32),$D32&gt;0,L32&gt;$D32)</formula>
    </cfRule>
    <cfRule type="expression" priority="21" dxfId="7" stopIfTrue="0">
      <formula>AND($C32="QUARTERLY",COUNTIF($L$32:$N$32,"&gt;0")&gt;1)</formula>
    </cfRule>
    <cfRule type="expression" priority="22" dxfId="7" stopIfTrue="0">
      <formula>AND($C32="QUARTERLY",COUNTIF($O$32:$Q$32,"&gt;0")&gt;1)</formula>
    </cfRule>
    <cfRule type="expression" priority="23" dxfId="7" stopIfTrue="0">
      <formula>AND($C32="QUARTERLY",COUNTIF($R$32:$T$32,"&gt;0")&gt;1)</formula>
    </cfRule>
    <cfRule type="expression" priority="24" dxfId="7" stopIfTrue="0">
      <formula>AND($C32="QUARTERLY",COUNTIF($U$32:$W$32,"&gt;0")&gt;1)</formula>
    </cfRule>
    <cfRule type="expression" priority="25" dxfId="7" stopIfTrue="0">
      <formula>AND($C32="SEMI-ANNUAL",COUNTIF($L$32:$Q$32,"&gt;0")&gt;1)</formula>
    </cfRule>
    <cfRule type="expression" priority="26" dxfId="7" stopIfTrue="0">
      <formula>AND($C32="SEMI-ANNUAL",COUNTIF($R$32:$W$32,"&gt;0")&gt;1)</formula>
    </cfRule>
    <cfRule type="expression" priority="27" dxfId="4" stopIfTrue="0">
      <formula>AND(ISNUMBER(L32),L32&gt;0)</formula>
    </cfRule>
  </conditionalFormatting>
  <conditionalFormatting sqref="L37:W37">
    <cfRule type="expression" priority="28" dxfId="1" stopIfTrue="1">
      <formula>AND(L37&lt;&gt;"",NOT(ISNUMBER(L37)))</formula>
    </cfRule>
    <cfRule type="expression" priority="29" dxfId="6" stopIfTrue="1">
      <formula>AND(ISNUMBER(L37),$D37&gt;0,L37&gt;$D37)</formula>
    </cfRule>
    <cfRule type="expression" priority="30" dxfId="7" stopIfTrue="0">
      <formula>AND($C37="QUARTERLY",COUNTIF($L$37:$N$37,"&gt;0")&gt;1)</formula>
    </cfRule>
    <cfRule type="expression" priority="31" dxfId="7" stopIfTrue="0">
      <formula>AND($C37="QUARTERLY",COUNTIF($O$37:$Q$37,"&gt;0")&gt;1)</formula>
    </cfRule>
    <cfRule type="expression" priority="32" dxfId="7" stopIfTrue="0">
      <formula>AND($C37="QUARTERLY",COUNTIF($R$37:$T$37,"&gt;0")&gt;1)</formula>
    </cfRule>
    <cfRule type="expression" priority="33" dxfId="7" stopIfTrue="0">
      <formula>AND($C37="QUARTERLY",COUNTIF($U$37:$W$37,"&gt;0")&gt;1)</formula>
    </cfRule>
    <cfRule type="expression" priority="34" dxfId="7" stopIfTrue="0">
      <formula>AND($C37="SEMI-ANNUAL",COUNTIF($L$37:$Q$37,"&gt;0")&gt;1)</formula>
    </cfRule>
    <cfRule type="expression" priority="35" dxfId="7" stopIfTrue="0">
      <formula>AND($C37="SEMI-ANNUAL",COUNTIF($R$37:$W$37,"&gt;0")&gt;1)</formula>
    </cfRule>
    <cfRule type="expression" priority="36" dxfId="4" stopIfTrue="0">
      <formula>AND(ISNUMBER(L37),L37&gt;0)</formula>
    </cfRule>
  </conditionalFormatting>
  <conditionalFormatting sqref="A21:I22">
    <cfRule type="expression" priority="37" dxfId="3" stopIfTrue="0">
      <formula>AND($A21&lt;&gt;"",$C21="")</formula>
    </cfRule>
  </conditionalFormatting>
  <conditionalFormatting sqref="A27:I27">
    <cfRule type="expression" priority="38" dxfId="3" stopIfTrue="0">
      <formula>AND($A27&lt;&gt;"",$C27="")</formula>
    </cfRule>
  </conditionalFormatting>
  <conditionalFormatting sqref="A32:I32">
    <cfRule type="expression" priority="39" dxfId="3" stopIfTrue="0">
      <formula>AND($A32&lt;&gt;"",$C32="")</formula>
    </cfRule>
  </conditionalFormatting>
  <conditionalFormatting sqref="A37:I37">
    <cfRule type="expression" priority="40" dxfId="3" stopIfTrue="0">
      <formula>AND($A37&lt;&gt;"",$C37="")</formula>
    </cfRule>
  </conditionalFormatting>
  <conditionalFormatting sqref="E10">
    <cfRule type="expression" priority="41" dxfId="0" stopIfTrue="0">
      <formula>$E$10="POSITIVE"</formula>
    </cfRule>
    <cfRule type="expression" priority="42" dxfId="1" stopIfTrue="0">
      <formula>$E$10="NEGATIVE"</formula>
    </cfRule>
  </conditionalFormatting>
  <dataValidations count="18">
    <dataValidation sqref="L21:W22 L27:W27 L32:W32 L37:W37" showDropDown="0" showInputMessage="0" showErrorMessage="1" allowBlank="1" errorTitle="Enter an amount" error="Type the dollar amount you used in this cycle (0 or more), or leave the cell blank. Anything above the credit amount is automatically capped at the credit amount." promptTitle="Amount used" prompt="Type the dollar amount used in this cycle. Blank = not used. Values above the credit amount are capped automatically." type="decimal" operator="greaterThanOrEqual">
      <formula1>0</formula1>
    </dataValidation>
    <dataValidation sqref="B21:B22" showDropDown="0" showInputMessage="0" showErrorMessage="1" allowBlank="1" errorTitle="Pick from the list" error="Allowed: SC, EST, ACCESS" type="list">
      <formula1>"SC,EST,ACCESS"</formula1>
    </dataValidation>
    <dataValidation sqref="B27" showDropDown="0" showInputMessage="0" showErrorMessage="1" allowBlank="1" errorTitle="Pick from the list" error="Allowed: SC, EST, ACCESS" type="list">
      <formula1>"SC,EST,ACCESS"</formula1>
    </dataValidation>
    <dataValidation sqref="B32" showDropDown="0" showInputMessage="0" showErrorMessage="1" allowBlank="1" errorTitle="Pick from the list" error="Allowed: SC, EST, ACCESS" type="list">
      <formula1>"SC,EST,ACCESS"</formula1>
    </dataValidation>
    <dataValidation sqref="B37" showDropDown="0" showInputMessage="0" showErrorMessage="1" allowBlank="1" errorTitle="Pick from the list" error="Allowed: SC, EST, ACCESS" type="list">
      <formula1>"SC,EST,ACCESS"</formula1>
    </dataValidation>
    <dataValidation sqref="B42" showDropDown="0" showInputMessage="0" showErrorMessage="1" allowBlank="1" errorTitle="Pick from the list" error="Allowed: SC, EST, ACCESS" type="list">
      <formula1>"SC,EST,ACCESS"</formula1>
    </dataValidation>
    <dataValidation sqref="B47" showDropDown="0" showInputMessage="0" showErrorMessage="1" allowBlank="1" errorTitle="Pick from the list" error="Allowed: SC, EST, ACCESS" type="list">
      <formula1>"SC,EST,ACCESS"</formula1>
    </dataValidation>
    <dataValidation sqref="C21:C22" showDropDown="0" showInputMessage="0" showErrorMessage="1" allowBlank="1" errorTitle="Pick from the list" error="Allowed: MONTHLY, QUARTERLY, SEMI-ANNUAL, CALENDAR-YEAR" type="list">
      <formula1>"MONTHLY,QUARTERLY,SEMI-ANNUAL,CALENDAR-YEAR"</formula1>
    </dataValidation>
    <dataValidation sqref="C27" showDropDown="0" showInputMessage="0" showErrorMessage="1" allowBlank="1" errorTitle="Pick from the list" error="Allowed: CARDMEMBER-YEAR" type="list">
      <formula1>"CARDMEMBER-YEAR"</formula1>
    </dataValidation>
    <dataValidation sqref="C32" showDropDown="0" showInputMessage="0" showErrorMessage="1" allowBlank="1" errorTitle="Pick from the list" error="Allowed: MONTHLY, QUARTERLY, SEMI-ANNUAL, CALENDAR-YEAR" type="list">
      <formula1>"MONTHLY,QUARTERLY,SEMI-ANNUAL,CALENDAR-YEAR"</formula1>
    </dataValidation>
    <dataValidation sqref="C37" showDropDown="0" showInputMessage="0" showErrorMessage="1" allowBlank="1" errorTitle="Pick from the list" error="Allowed: MONTHLY, QUARTERLY, SEMI-ANNUAL, CALENDAR-YEAR" type="list">
      <formula1>"MONTHLY,QUARTERLY,SEMI-ANNUAL,CALENDAR-YEAR"</formula1>
    </dataValidation>
    <dataValidation sqref="C42" showDropDown="0" showInputMessage="0" showErrorMessage="1" allowBlank="1" errorTitle="Pick from the list" error="Allowed: MULTI-YEAR, ONE-TIME" type="list">
      <formula1>"MULTI-YEAR,ONE-TIME"</formula1>
    </dataValidation>
    <dataValidation sqref="I42" showDropDown="0" showInputMessage="0" showErrorMessage="1" allowBlank="1" errorTitle="Pick from the list" error="Allowed: y" type="list">
      <formula1>"y"</formula1>
    </dataValidation>
    <dataValidation sqref="C47" showDropDown="0" showInputMessage="0" showErrorMessage="1" allowBlank="1" errorTitle="Pick from the list" error="Allowed: MULTI-YEAR, ONE-TIME" type="list">
      <formula1>"MULTI-YEAR,ONE-TIME"</formula1>
    </dataValidation>
    <dataValidation sqref="I47" showDropDown="0" showInputMessage="0" showErrorMessage="1" allowBlank="1" errorTitle="Pick from the list" error="Allowed: y" type="list">
      <formula1>"y"</formula1>
    </dataValidation>
    <dataValidation sqref="B9" showDropDown="0" showInputMessage="0" showErrorMessage="1" allowBlank="1" errorTitle="Pick from the list" error="Allowed: y" type="list">
      <formula1>"y"</formula1>
    </dataValidation>
    <dataValidation sqref="B4" showDropDown="0" showInputMessage="0" showErrorMessage="1" allowBlank="1" errorTitle="Pick from the list" error="Allowed: Active, Closed, Product-changed, Authorized-user-only" type="list">
      <formula1>"Active,Closed,Product-changed,Authorized-user-only"</formula1>
    </dataValidation>
    <dataValidation sqref="B2" showDropDown="0" showInputMessage="0" showErrorMessage="1" allowBlank="1" errorTitle="Pick from the list" error="Allowed: Amex, Chase, Citi, Capital One, Bank of America, Discover, Wells Fargo, US Bank, Barclays, Robinhood, Other" type="list">
      <formula1>"Amex,Chase,Citi,Capital One,Bank of America,Discover,Wells Fargo,US Bank,Barclays,Robinhood,Other"</formula1>
    </dataValidation>
  </dataValidations>
  <pageMargins left="0.75" right="0.75" top="1" bottom="1" header="0.5" footer="0.5"/>
</worksheet>
</file>

<file path=xl/worksheets/sheet7.xml><?xml version="1.0" encoding="utf-8"?>
<worksheet xmlns="http://schemas.openxmlformats.org/spreadsheetml/2006/main">
  <sheetPr>
    <tabColor rgb="00BFBFBF"/>
    <outlinePr summaryBelow="1" summaryRight="1"/>
    <pageSetUpPr/>
  </sheetPr>
  <dimension ref="A1:J50"/>
  <sheetViews>
    <sheetView workbookViewId="0">
      <selection activeCell="A1" sqref="A1"/>
    </sheetView>
  </sheetViews>
  <sheetFormatPr baseColWidth="8" defaultRowHeight="15"/>
  <cols>
    <col width="40" customWidth="1" min="1" max="1"/>
    <col width="44" customWidth="1" min="2" max="2"/>
    <col width="30" customWidth="1" min="3" max="3"/>
    <col width="30" customWidth="1" min="4" max="4"/>
  </cols>
  <sheetData>
    <row r="1">
      <c r="A1" t="inlineStr">
        <is>
          <t>Tracking year</t>
        </is>
      </c>
      <c r="B1" s="19" t="n">
        <v>2026</v>
      </c>
      <c r="J1" s="3" t="inlineStr">
        <is>
          <t>Short month names (English)</t>
        </is>
      </c>
    </row>
    <row r="2">
      <c r="A2" s="3" t="inlineStr">
        <is>
          <t>Issuers</t>
        </is>
      </c>
    </row>
    <row r="3">
      <c r="A3" t="inlineStr">
        <is>
          <t>Amex</t>
        </is>
      </c>
      <c r="J3" t="inlineStr">
        <is>
          <t>Jan</t>
        </is>
      </c>
    </row>
    <row r="4">
      <c r="A4" t="inlineStr">
        <is>
          <t>Chase</t>
        </is>
      </c>
      <c r="J4" t="inlineStr">
        <is>
          <t>Feb</t>
        </is>
      </c>
    </row>
    <row r="5">
      <c r="A5" t="inlineStr">
        <is>
          <t>Citi</t>
        </is>
      </c>
      <c r="J5" t="inlineStr">
        <is>
          <t>Mar</t>
        </is>
      </c>
    </row>
    <row r="6">
      <c r="A6" t="inlineStr">
        <is>
          <t>Capital One</t>
        </is>
      </c>
      <c r="J6" t="inlineStr">
        <is>
          <t>Apr</t>
        </is>
      </c>
    </row>
    <row r="7">
      <c r="A7" t="inlineStr">
        <is>
          <t>Bank of America</t>
        </is>
      </c>
      <c r="J7" t="inlineStr">
        <is>
          <t>May</t>
        </is>
      </c>
    </row>
    <row r="8">
      <c r="A8" t="inlineStr">
        <is>
          <t>Discover</t>
        </is>
      </c>
      <c r="J8" t="inlineStr">
        <is>
          <t>Jun</t>
        </is>
      </c>
    </row>
    <row r="9">
      <c r="A9" t="inlineStr">
        <is>
          <t>Wells Fargo</t>
        </is>
      </c>
      <c r="J9" t="inlineStr">
        <is>
          <t>Jul</t>
        </is>
      </c>
    </row>
    <row r="10">
      <c r="A10" t="inlineStr">
        <is>
          <t>US Bank</t>
        </is>
      </c>
      <c r="J10" t="inlineStr">
        <is>
          <t>Aug</t>
        </is>
      </c>
    </row>
    <row r="11">
      <c r="A11" t="inlineStr">
        <is>
          <t>Barclays</t>
        </is>
      </c>
      <c r="J11" t="inlineStr">
        <is>
          <t>Sep</t>
        </is>
      </c>
    </row>
    <row r="12">
      <c r="A12" t="inlineStr">
        <is>
          <t>Robinhood</t>
        </is>
      </c>
      <c r="J12" t="inlineStr">
        <is>
          <t>Oct</t>
        </is>
      </c>
    </row>
    <row r="13">
      <c r="A13" t="inlineStr">
        <is>
          <t>Other</t>
        </is>
      </c>
      <c r="J13" t="inlineStr">
        <is>
          <t>Nov</t>
        </is>
      </c>
    </row>
    <row r="14">
      <c r="J14" t="inlineStr">
        <is>
          <t>Dec</t>
        </is>
      </c>
    </row>
    <row r="15">
      <c r="A15" s="3" t="inlineStr">
        <is>
          <t>Basis</t>
        </is>
      </c>
    </row>
    <row r="16">
      <c r="A16" t="inlineStr">
        <is>
          <t>SC</t>
        </is>
      </c>
    </row>
    <row r="17">
      <c r="A17" t="inlineStr">
        <is>
          <t>EST</t>
        </is>
      </c>
    </row>
    <row r="18">
      <c r="A18" t="inlineStr">
        <is>
          <t>ACCESS</t>
        </is>
      </c>
    </row>
    <row r="21">
      <c r="A21" s="3" t="inlineStr">
        <is>
          <t>Cycles</t>
        </is>
      </c>
    </row>
    <row r="22">
      <c r="A22" t="inlineStr">
        <is>
          <t>MONTHLY</t>
        </is>
      </c>
    </row>
    <row r="23">
      <c r="A23" t="inlineStr">
        <is>
          <t>QUARTERLY</t>
        </is>
      </c>
    </row>
    <row r="24">
      <c r="A24" t="inlineStr">
        <is>
          <t>SEMI-ANNUAL</t>
        </is>
      </c>
    </row>
    <row r="25">
      <c r="A25" t="inlineStr">
        <is>
          <t>CALENDAR-YEAR</t>
        </is>
      </c>
    </row>
    <row r="26">
      <c r="A26" t="inlineStr">
        <is>
          <t>CARDMEMBER-YEAR</t>
        </is>
      </c>
    </row>
    <row r="27">
      <c r="A27" t="inlineStr">
        <is>
          <t>MULTI-YEAR</t>
        </is>
      </c>
    </row>
    <row r="28">
      <c r="A28" t="inlineStr">
        <is>
          <t>ONE-TIME</t>
        </is>
      </c>
    </row>
    <row r="30">
      <c r="A30" s="3" t="inlineStr">
        <is>
          <t>Card status</t>
        </is>
      </c>
    </row>
    <row r="31">
      <c r="A31" t="inlineStr">
        <is>
          <t>Active</t>
        </is>
      </c>
    </row>
    <row r="32">
      <c r="A32" t="inlineStr">
        <is>
          <t>Closed</t>
        </is>
      </c>
    </row>
    <row r="33">
      <c r="A33" t="inlineStr">
        <is>
          <t>Product-changed</t>
        </is>
      </c>
    </row>
    <row r="34">
      <c r="A34" t="inlineStr">
        <is>
          <t>Authorized-user-only</t>
        </is>
      </c>
    </row>
    <row r="36">
      <c r="A36" s="3" t="inlineStr">
        <is>
          <t>Benefit catalog - typical reset cycles. Verify every amount on the issuer's own terms before relying on it.</t>
        </is>
      </c>
    </row>
    <row r="37">
      <c r="A37" s="15" t="inlineStr">
        <is>
          <t>Benefit type</t>
        </is>
      </c>
      <c r="B37" s="15" t="inlineStr">
        <is>
          <t>Typical cycle</t>
        </is>
      </c>
      <c r="C37" s="15" t="inlineStr">
        <is>
          <t>Typical value</t>
        </is>
      </c>
      <c r="D37" s="15" t="inlineStr">
        <is>
          <t>Verification status</t>
        </is>
      </c>
    </row>
    <row r="38">
      <c r="A38" t="inlineStr">
        <is>
          <t>Hilton Resort Credit (Aspire)</t>
        </is>
      </c>
      <c r="B38" t="inlineStr">
        <is>
          <t>SEMI-ANNUAL ($200 Jan-Jun / $200 Jul-Dec)</t>
        </is>
      </c>
      <c r="C38" t="inlineStr">
        <is>
          <t>$400/yr</t>
        </is>
      </c>
      <c r="D38" t="inlineStr">
        <is>
          <t>Third-party - confirm</t>
        </is>
      </c>
    </row>
    <row r="39">
      <c r="A39" t="inlineStr">
        <is>
          <t>Airline Fee Credit (Aspire)</t>
        </is>
      </c>
      <c r="B39" t="inlineStr">
        <is>
          <t>QUARTERLY ($50 per quarter)</t>
        </is>
      </c>
      <c r="C39" t="inlineStr">
        <is>
          <t>$200/yr</t>
        </is>
      </c>
      <c r="D39" t="inlineStr">
        <is>
          <t>PENDING - incidental fees vs airfare</t>
        </is>
      </c>
    </row>
    <row r="40">
      <c r="A40" t="inlineStr">
        <is>
          <t>CLEAR+ Credit (Aspire)</t>
        </is>
      </c>
      <c r="B40" t="inlineStr">
        <is>
          <t>CALENDAR-YEAR</t>
        </is>
      </c>
      <c r="C40" t="inlineStr">
        <is>
          <t>$219/yr</t>
        </is>
      </c>
      <c r="D40" t="inlineStr">
        <is>
          <t>Third-party - confirm</t>
        </is>
      </c>
    </row>
    <row r="41">
      <c r="A41" t="inlineStr">
        <is>
          <t>Chase Travel hotel credit (CSP)</t>
        </is>
      </c>
      <c r="B41" t="inlineStr">
        <is>
          <t>CARDMEMBER-YEAR</t>
        </is>
      </c>
      <c r="C41" t="inlineStr">
        <is>
          <t>$100/yr</t>
        </is>
      </c>
      <c r="D41" t="inlineStr">
        <is>
          <t>OFFICIAL - Chase.com</t>
        </is>
      </c>
    </row>
    <row r="42">
      <c r="A42" t="inlineStr">
        <is>
          <t>DoorDash non-restaurant credit (CSP)</t>
        </is>
      </c>
      <c r="B42" t="inlineStr">
        <is>
          <t>MONTHLY</t>
        </is>
      </c>
      <c r="C42" t="inlineStr">
        <is>
          <t>$10/mo through 12/31/2027</t>
        </is>
      </c>
      <c r="D42" t="inlineStr">
        <is>
          <t>Third-party - confirm</t>
        </is>
      </c>
    </row>
    <row r="43">
      <c r="A43" t="inlineStr">
        <is>
          <t>Instacart credit (CSP)</t>
        </is>
      </c>
      <c r="B43" t="inlineStr">
        <is>
          <t>MONTHLY</t>
        </is>
      </c>
      <c r="C43" t="inlineStr">
        <is>
          <t>unknown</t>
        </is>
      </c>
      <c r="D43" t="inlineStr">
        <is>
          <t>PENDING</t>
        </is>
      </c>
    </row>
    <row r="44">
      <c r="A44" t="inlineStr">
        <is>
          <t>Global Entry/TSA/NEXUS (CSP)</t>
        </is>
      </c>
      <c r="B44" t="inlineStr">
        <is>
          <t>MULTI-YEAR (4 yr)</t>
        </is>
      </c>
      <c r="C44" t="inlineStr">
        <is>
          <t>up to $120</t>
        </is>
      </c>
      <c r="D44" t="inlineStr">
        <is>
          <t>Third-party - confirm</t>
        </is>
      </c>
    </row>
    <row r="45">
      <c r="A45" t="inlineStr">
        <is>
          <t>CLEAR+ Credit (Amex Green)</t>
        </is>
      </c>
      <c r="B45" t="inlineStr">
        <is>
          <t>CALENDAR-YEAR</t>
        </is>
      </c>
      <c r="C45" t="inlineStr">
        <is>
          <t>$219</t>
        </is>
      </c>
      <c r="D45" t="inlineStr">
        <is>
          <t>Third-party - confirm</t>
        </is>
      </c>
    </row>
    <row r="46">
      <c r="A46" t="inlineStr">
        <is>
          <t>Turo credit (Citi AA Plat)</t>
        </is>
      </c>
      <c r="B46" t="inlineStr">
        <is>
          <t>ONE-TIME, expires 2026-10-18</t>
        </is>
      </c>
      <c r="C46" t="inlineStr">
        <is>
          <t>up to $30/trip, max $180</t>
        </is>
      </c>
      <c r="D46" t="inlineStr">
        <is>
          <t>Issuer/Turo page</t>
        </is>
      </c>
    </row>
    <row r="47">
      <c r="A47" t="inlineStr">
        <is>
          <t>Disney Streaming Credit (BCE)</t>
        </is>
      </c>
      <c r="B47" t="inlineStr">
        <is>
          <t>MONTHLY</t>
        </is>
      </c>
      <c r="C47" t="inlineStr">
        <is>
          <t>$7/mo up to $84/yr</t>
        </is>
      </c>
      <c r="D47" t="inlineStr">
        <is>
          <t>OFFICIAL - Amex.com</t>
        </is>
      </c>
    </row>
    <row r="48">
      <c r="A48" t="inlineStr">
        <is>
          <t>Home Chef credit (BCE)</t>
        </is>
      </c>
      <c r="B48" t="inlineStr">
        <is>
          <t>MONTHLY</t>
        </is>
      </c>
      <c r="C48" t="inlineStr">
        <is>
          <t>up to $15/mo</t>
        </is>
      </c>
      <c r="D48" t="inlineStr">
        <is>
          <t>PENDING</t>
        </is>
      </c>
    </row>
    <row r="49">
      <c r="A49" t="inlineStr">
        <is>
          <t>Free checked bag (Citi AA / Atmos)</t>
        </is>
      </c>
      <c r="B49" t="inlineStr">
        <is>
          <t>PER USE - you set the value</t>
        </is>
      </c>
      <c r="C49" t="inlineStr">
        <is>
          <t>your call, e.g. $35/bag</t>
        </is>
      </c>
      <c r="D49" t="inlineStr">
        <is>
          <t>You set it</t>
        </is>
      </c>
    </row>
    <row r="50">
      <c r="A50" t="inlineStr">
        <is>
          <t>Robinhood Gold membership</t>
        </is>
      </c>
      <c r="B50" t="inlineStr">
        <is>
          <t>YEARLY (monthly billing)</t>
        </is>
      </c>
      <c r="C50" t="inlineStr">
        <is>
          <t>$5/mo = $60/yr</t>
        </is>
      </c>
      <c r="D50" t="inlineStr">
        <is>
          <t>Counted in the annual fee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2026-09-11T20:14:37Z</dcterms:created>
  <dcterms:modified xsi:type="dcterms:W3CDTF">2026-09-11T20:14:37Z</dcterms:modified>
</cp:coreProperties>
</file>